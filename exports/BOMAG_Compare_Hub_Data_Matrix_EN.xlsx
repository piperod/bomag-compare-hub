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PARAMETERS" sheetId="2" state="visible" r:id="rId4"/>
    <sheet name="SDR" sheetId="3" state="visible" r:id="rId5"/>
    <sheet name="LTR" sheetId="4" state="visible" r:id="rId6"/>
    <sheet name="HTR" sheetId="5" state="visible" r:id="rId7"/>
    <sheet name="MILLING" sheetId="6" state="visible" r:id="rId8"/>
    <sheet name="PAVERS" sheetId="7" state="visible" r:id="rId9"/>
    <sheet name="COMPARISON" sheetId="8" state="visible" r:id="rId10"/>
  </sheets>
  <definedNames>
    <definedName function="false" hidden="false" localSheetId="4" name="_xlnm.Print_Titles" vbProcedure="false">HTR!$A:$B,HTR!$8:$9</definedName>
    <definedName function="false" hidden="false" localSheetId="3" name="_xlnm.Print_Titles" vbProcedure="false">LTR!$A:$B,LTR!$8:$9</definedName>
    <definedName function="false" hidden="false" localSheetId="5" name="_xlnm.Print_Titles" vbProcedure="false">MILLING!$A:$B,MILLING!$8:$9</definedName>
    <definedName function="false" hidden="false" localSheetId="6" name="_xlnm.Print_Titles" vbProcedure="false">PAVERS!$A:$B,PAVERS!$8:$9</definedName>
    <definedName function="false" hidden="false" localSheetId="2" name="_xlnm.Print_Titles" vbProcedure="false">SDR!$A:$B,SDR!$8:$9</definedName>
    <definedName function="false" hidden="false" name="Currency" vbProcedure="false">PARAMETERS!$B$19</definedName>
    <definedName function="false" hidden="false" name="CurrencyRate" vbProcedure="false">PARAMETERS!$B$20</definedName>
    <definedName function="false" hidden="false" name="DieselPrice" vbProcedure="false">PARAMETERS!$B$5</definedName>
    <definedName function="false" hidden="false" name="EURUSD" vbProcedure="false">PARAMETERS!$B$7</definedName>
    <definedName function="false" hidden="false" name="HTR_Efficiency" vbProcedure="false">HTR!$F$5</definedName>
    <definedName function="false" hidden="false" name="HTR_Ref" vbProcedure="false">HTR!$I$5</definedName>
    <definedName function="false" hidden="false" name="HTR_Soil" vbProcedure="false">HTR!$E$5</definedName>
    <definedName function="false" hidden="false" name="HTR_TechFactor" vbProcedure="false">HTR!$H$5</definedName>
    <definedName function="false" hidden="false" name="HTR_Volume" vbProcedure="false">HTR!$G$5</definedName>
    <definedName function="false" hidden="false" name="IDS_HTR" vbProcedure="false">HTR!$C$7:$G$7</definedName>
    <definedName function="false" hidden="false" name="IDS_LTR" vbProcedure="false">LTR!$C$7:$I$7</definedName>
    <definedName function="false" hidden="false" name="IDS_MILLING" vbProcedure="false">MILLING!$C$7:$E$7</definedName>
    <definedName function="false" hidden="false" name="IDS_PAVERS" vbProcedure="false">PAVERS!$C$7:$F$7</definedName>
    <definedName function="false" hidden="false" name="IDS_SDR" vbProcedure="false">SDR!$C$7:$AX$7</definedName>
    <definedName function="false" hidden="false" name="JointGrease" vbProcedure="false">SDR!$K$5</definedName>
    <definedName function="false" hidden="false" name="JointHoursPerJob" vbProcedure="false">SDR!$M$5</definedName>
    <definedName function="false" hidden="false" name="JointIdleRate" vbProcedure="false">SDR!$J$5</definedName>
    <definedName function="false" hidden="false" name="JointInterval" vbProcedure="false">SDR!$L$5</definedName>
    <definedName function="false" hidden="false" name="JointTechRate" vbProcedure="false">SDR!$I$5</definedName>
    <definedName function="false" hidden="false" name="LTR_Efficiency" vbProcedure="false">LTR!$F$5</definedName>
    <definedName function="false" hidden="false" name="LTR_Ref" vbProcedure="false">LTR!$I$5</definedName>
    <definedName function="false" hidden="false" name="LTR_Soil" vbProcedure="false">LTR!$E$5</definedName>
    <definedName function="false" hidden="false" name="LTR_TechFactor" vbProcedure="false">LTR!$H$5</definedName>
    <definedName function="false" hidden="false" name="LTR_Volume" vbProcedure="false">LTR!$G$5</definedName>
    <definedName function="false" hidden="false" name="MIL_Ref" vbProcedure="false">MILLING!$G$5</definedName>
    <definedName function="false" hidden="false" name="MIL_Volume" vbProcedure="false">MILLING!$E$5</definedName>
    <definedName function="false" hidden="false" name="MIL_WearReduction" vbProcedure="false">MILLING!$F$5</definedName>
    <definedName function="false" hidden="false" name="OperatingHours" vbProcedure="false">PARAMETERS!$B$6</definedName>
    <definedName function="false" hidden="false" name="PAV_EcomodeSaving" vbProcedure="false">PAVERS!$F$5</definedName>
    <definedName function="false" hidden="false" name="PAV_FactorEcoMode" vbProcedure="false">PAVERS!$I$5</definedName>
    <definedName function="false" hidden="false" name="PAV_FactorEcoPlus" vbProcedure="false">PAVERS!$G$5</definedName>
    <definedName function="false" hidden="false" name="PAV_FactorVarioSpeed" vbProcedure="false">PAVERS!$H$5</definedName>
    <definedName function="false" hidden="false" name="PAV_HeatMinStd" vbProcedure="false">PAVERS!$N$5</definedName>
    <definedName function="false" hidden="false" name="PAV_HoursPerShift" vbProcedure="false">PAVERS!$E$5</definedName>
    <definedName function="false" hidden="false" name="PAV_HoursPerYear" vbProcedure="false">PAVERS!$M$5</definedName>
    <definedName function="false" hidden="false" name="PAV_Ref" vbProcedure="false">PAVERS!$O$5</definedName>
    <definedName function="false" hidden="false" name="PAV_SetupMagma" vbProcedure="false">PAVERS!$K$5</definedName>
    <definedName function="false" hidden="false" name="PAV_SetupStd" vbProcedure="false">PAVERS!$J$5</definedName>
    <definedName function="false" hidden="false" name="PAV_Wear3yStd" vbProcedure="false">PAVERS!$L$5</definedName>
    <definedName function="false" hidden="false" name="SDR_Efficiency" vbProcedure="false">SDR!$F$5</definedName>
    <definedName function="false" hidden="false" name="SDR_Ref" vbProcedure="false">SDR!$N$5</definedName>
    <definedName function="false" hidden="false" name="SDR_Soil" vbProcedure="false">SDR!$E$5</definedName>
    <definedName function="false" hidden="false" name="SDR_TechFactor" vbProcedure="false">SDR!$H$5</definedName>
    <definedName function="false" hidden="false" name="SDR_Volume" vbProcedure="false">SDR!$G$5</definedName>
    <definedName function="false" hidden="false" localSheetId="2" name="_xlnm.Print_Titles" vbProcedure="false">SDR!$8:$9,SDR!$A:$B</definedName>
    <definedName function="false" hidden="false" localSheetId="3" name="_xlnm.Print_Titles" vbProcedure="false">LTR!$8:$9,LTR!$A:$B</definedName>
    <definedName function="false" hidden="false" localSheetId="4" name="_xlnm.Print_Titles" vbProcedure="false">HTR!$8:$9,HTR!$A:$B</definedName>
    <definedName function="false" hidden="false" localSheetId="5" name="_xlnm.Print_Titles" vbProcedure="false">MILLING!$8:$9,MILLING!$A:$B</definedName>
    <definedName function="false" hidden="false" localSheetId="6" name="_xlnm.Print_Titles" vbProcedure="false">PAVERS!$8:$9,PAVERS!$A:$B</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38" authorId="0">
      <text>
        <r>
          <rPr>
            <sz val="10"/>
            <rFont val="Arial"/>
            <family val="2"/>
          </rPr>
          <t xml:space="preserve">Market residual value at the end of the analysed period.</t>
        </r>
      </text>
    </comment>
    <comment ref="A42" authorId="0">
      <text>
        <r>
          <rPr>
            <sz val="10"/>
            <rFont val="Arial"/>
            <family val="2"/>
          </rPr>
          <t xml:space="preserve">Application interpolation by operating weight.</t>
        </r>
      </text>
    </comment>
    <comment ref="A62" authorId="0">
      <text>
        <r>
          <rPr>
            <sz val="10"/>
            <rFont val="Arial"/>
            <family val="2"/>
          </rPr>
          <t xml:space="preserve">TCO of this machine minus the TCO of the reference machine. Positive: the reference is more economical.</t>
        </r>
      </text>
    </comment>
    <comment ref="C5" authorId="0">
      <text>
        <r>
          <rPr>
            <sz val="10"/>
            <rFont val="Arial"/>
            <family val="2"/>
          </rPr>
          <t xml:space="preserve">Edit in PARAMETERS.</t>
        </r>
      </text>
    </comment>
    <comment ref="D5" authorId="0">
      <text>
        <r>
          <rPr>
            <sz val="10"/>
            <rFont val="Arial"/>
            <family val="2"/>
          </rPr>
          <t xml:space="preserve">Edit in PARAMETERS.</t>
        </r>
      </text>
    </comment>
    <comment ref="G5" authorId="0">
      <text>
        <r>
          <rPr>
            <sz val="10"/>
            <rFont val="Arial"/>
            <family val="2"/>
          </rPr>
          <t xml:space="preserve">Length x width x height of the job.</t>
        </r>
      </text>
    </comment>
    <comment ref="H5" authorId="0">
      <text>
        <r>
          <rPr>
            <sz val="10"/>
            <rFont val="Arial"/>
            <family val="2"/>
          </rPr>
          <t xml:space="preserve">Economizer / Terrameter.</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35" authorId="0">
      <text>
        <r>
          <rPr>
            <sz val="10"/>
            <rFont val="Arial"/>
            <family val="2"/>
          </rPr>
          <t xml:space="preserve">Market residual value at the end of the analysed period.</t>
        </r>
      </text>
    </comment>
    <comment ref="A38" authorId="0">
      <text>
        <r>
          <rPr>
            <sz val="10"/>
            <rFont val="Arial"/>
            <family val="2"/>
          </rPr>
          <t xml:space="preserve">Application interpolation by operating weight.</t>
        </r>
      </text>
    </comment>
    <comment ref="A56" authorId="0">
      <text>
        <r>
          <rPr>
            <sz val="10"/>
            <rFont val="Arial"/>
            <family val="2"/>
          </rPr>
          <t xml:space="preserve">TCO of this machine minus the TCO of the reference machine. Positive: the reference is more economical.</t>
        </r>
      </text>
    </comment>
    <comment ref="C5" authorId="0">
      <text>
        <r>
          <rPr>
            <sz val="10"/>
            <rFont val="Arial"/>
            <family val="2"/>
          </rPr>
          <t xml:space="preserve">Edit in PARAMETERS.</t>
        </r>
      </text>
    </comment>
    <comment ref="D5" authorId="0">
      <text>
        <r>
          <rPr>
            <sz val="10"/>
            <rFont val="Arial"/>
            <family val="2"/>
          </rPr>
          <t xml:space="preserve">Edit in PARAMETERS.</t>
        </r>
      </text>
    </comment>
    <comment ref="G5" authorId="0">
      <text>
        <r>
          <rPr>
            <sz val="10"/>
            <rFont val="Arial"/>
            <family val="2"/>
          </rPr>
          <t xml:space="preserve">Length x width x height of the job.</t>
        </r>
      </text>
    </comment>
    <comment ref="H5" authorId="0">
      <text>
        <r>
          <rPr>
            <sz val="10"/>
            <rFont val="Arial"/>
            <family val="2"/>
          </rPr>
          <t xml:space="preserve">Economizer / Terrameter.</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35" authorId="0">
      <text>
        <r>
          <rPr>
            <sz val="10"/>
            <rFont val="Arial"/>
            <family val="2"/>
          </rPr>
          <t xml:space="preserve">Market residual value at the end of the analysed period.</t>
        </r>
      </text>
    </comment>
    <comment ref="A38" authorId="0">
      <text>
        <r>
          <rPr>
            <sz val="10"/>
            <rFont val="Arial"/>
            <family val="2"/>
          </rPr>
          <t xml:space="preserve">Application interpolation by operating weight.</t>
        </r>
      </text>
    </comment>
    <comment ref="A56" authorId="0">
      <text>
        <r>
          <rPr>
            <sz val="10"/>
            <rFont val="Arial"/>
            <family val="2"/>
          </rPr>
          <t xml:space="preserve">TCO of this machine minus the TCO of the reference machine. Positive: the reference is more economical.</t>
        </r>
      </text>
    </comment>
    <comment ref="C5" authorId="0">
      <text>
        <r>
          <rPr>
            <sz val="10"/>
            <rFont val="Arial"/>
            <family val="2"/>
          </rPr>
          <t xml:space="preserve">Edit in PARAMETERS.</t>
        </r>
      </text>
    </comment>
    <comment ref="D5" authorId="0">
      <text>
        <r>
          <rPr>
            <sz val="10"/>
            <rFont val="Arial"/>
            <family val="2"/>
          </rPr>
          <t xml:space="preserve">Edit in PARAMETERS.</t>
        </r>
      </text>
    </comment>
    <comment ref="G5" authorId="0">
      <text>
        <r>
          <rPr>
            <sz val="10"/>
            <rFont val="Arial"/>
            <family val="2"/>
          </rPr>
          <t xml:space="preserve">Length x width x height of the job.</t>
        </r>
      </text>
    </comment>
    <comment ref="H5" authorId="0">
      <text>
        <r>
          <rPr>
            <sz val="10"/>
            <rFont val="Arial"/>
            <family val="2"/>
          </rPr>
          <t xml:space="preserve">Economizer / Terrameter.</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61" authorId="0">
      <text>
        <r>
          <rPr>
            <sz val="10"/>
            <rFont val="Arial"/>
            <family val="2"/>
          </rPr>
          <t xml:space="preserve">TCO of this machine minus the TCO of the reference machine. Positive: the reference is more economical.</t>
        </r>
      </text>
    </comment>
    <comment ref="C5" authorId="0">
      <text>
        <r>
          <rPr>
            <sz val="10"/>
            <rFont val="Arial"/>
            <family val="2"/>
          </rPr>
          <t xml:space="preserve">Edit in PARAMETERS.</t>
        </r>
      </text>
    </comment>
    <comment ref="D5" authorId="0">
      <text>
        <r>
          <rPr>
            <sz val="10"/>
            <rFont val="Arial"/>
            <family val="2"/>
          </rPr>
          <t xml:space="preserve">Edit in PARAMETERS.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80" authorId="0">
      <text>
        <r>
          <rPr>
            <sz val="10"/>
            <rFont val="Arial"/>
            <family val="2"/>
          </rPr>
          <t xml:space="preserve">Application order: average consumption, then shift consumption / 10, then CO₂ per shift / 2.6 / 10. Zero if not published.</t>
        </r>
      </text>
    </comment>
    <comment ref="A81" authorId="0">
      <text>
        <r>
          <rPr>
            <sz val="10"/>
            <rFont val="Arial"/>
            <family val="2"/>
          </rPr>
          <t xml:space="preserve">Default: BOMAG 8, competitors 10.</t>
        </r>
      </text>
    </comment>
    <comment ref="A82" authorId="0">
      <text>
        <r>
          <rPr>
            <sz val="10"/>
            <rFont val="Arial"/>
            <family val="2"/>
          </rPr>
          <t xml:space="preserve">Default: BOMAG 4, competitors 6.</t>
        </r>
      </text>
    </comment>
    <comment ref="A109" authorId="0">
      <text>
        <r>
          <rPr>
            <sz val="10"/>
            <rFont val="Arial"/>
            <family val="2"/>
          </rPr>
          <t xml:space="preserve">TCO of this machine minus the TCO of the reference machine. Positive: the reference is more economical.</t>
        </r>
      </text>
    </comment>
    <comment ref="A110" authorId="0">
      <text>
        <r>
          <rPr>
            <sz val="10"/>
            <rFont val="Arial"/>
            <family val="2"/>
          </rPr>
          <t xml:space="preserve">Same as the application: highest competitor TCO minus BOMAG TCO.</t>
        </r>
      </text>
    </comment>
    <comment ref="C5" authorId="0">
      <text>
        <r>
          <rPr>
            <sz val="10"/>
            <rFont val="Arial"/>
            <family val="2"/>
          </rPr>
          <t xml:space="preserve">Edit in PARAMETERS.</t>
        </r>
      </text>
    </comment>
    <comment ref="D5" authorId="0">
      <text>
        <r>
          <rPr>
            <sz val="10"/>
            <rFont val="Arial"/>
            <family val="2"/>
          </rPr>
          <t xml:space="preserve">Edit in PARAMETERS.</t>
        </r>
      </text>
    </comment>
  </commentList>
</comments>
</file>

<file path=xl/sharedStrings.xml><?xml version="1.0" encoding="utf-8"?>
<sst xmlns="http://schemas.openxmlformats.org/spreadsheetml/2006/main" count="2509" uniqueCount="1121">
  <si>
    <t xml:space="preserve">BOMAG COMPARE HUB. DATA MATRIX AND FINANCIAL ANALYSIS.</t>
  </si>
  <si>
    <t xml:space="preserve">Data from the BOMAG Compare Hub application with the TCO model as live formulas. All amounts stored in USD.</t>
  </si>
  <si>
    <t xml:space="preserve">WORKBOOK STRUCTURE</t>
  </si>
  <si>
    <t xml:space="preserve">■</t>
  </si>
  <si>
    <t xml:space="preserve">PARAMETERS</t>
  </si>
  <si>
    <t xml:space="preserve">Diesel price, operating hours to analyse, EUR/USD exchange rate and display currency. They apply to every product family.</t>
  </si>
  <si>
    <t xml:space="preserve">SDR, LTR, HTR</t>
  </si>
  <si>
    <t xml:space="preserve">One sheet per roller family: technical data, USPs, financial parameters, performance, costs, TCO and progressive TCO. The SDR sheet also contains the articulation joint analysis and the performance tables by soil type.</t>
  </si>
  <si>
    <t xml:space="preserve">MILLING</t>
  </si>
  <si>
    <t xml:space="preserve">Technical data, BMS15L, tool wear, TCO and the BM 1000/20 preventive maintenance routine.</t>
  </si>
  <si>
    <t xml:space="preserve">PAVERS</t>
  </si>
  <si>
    <t xml:space="preserve">Technical data, financial data sheet, ECOMODE and fuel-saving modes, MAGMALIFE, screed wear and TCO.</t>
  </si>
  <si>
    <t xml:space="preserve">COMPARISON</t>
  </si>
  <si>
    <t xml:space="preserve">Select a family and up to four machines to view them side by side.</t>
  </si>
  <si>
    <t xml:space="preserve">HOW TO READ THE SHEETS</t>
  </si>
  <si>
    <t xml:space="preserve">Machines in columns</t>
  </si>
  <si>
    <t xml:space="preserve">Each machine takes one column, as in the application comparison table. Brand and model stay frozen while scrolling.</t>
  </si>
  <si>
    <t xml:space="preserve">Light yellow cells</t>
  </si>
  <si>
    <t xml:space="preserve">Editable inputs: price, consumption, maintenance, resale value, USP activation and family parameters.</t>
  </si>
  <si>
    <t xml:space="preserve">White cells</t>
  </si>
  <si>
    <t xml:space="preserve">Technical data and results calculated with formulas.</t>
  </si>
  <si>
    <t xml:space="preserve">Yellow rows</t>
  </si>
  <si>
    <t xml:space="preserve">Key result: TCO for the period.</t>
  </si>
  <si>
    <t xml:space="preserve">Reference machine</t>
  </si>
  <si>
    <t xml:space="preserve">Each family has a reference machine (by default the first BOMAG). The row "TCO difference vs reference" shows how much more each machine costs.</t>
  </si>
  <si>
    <t xml:space="preserve">MODEL FORMULAS</t>
  </si>
  <si>
    <t xml:space="preserve">TCO</t>
  </si>
  <si>
    <t xml:space="preserve">Price + Fuel cost + Maintenance cost + Family-specific costs - Resale value.</t>
  </si>
  <si>
    <t xml:space="preserve">Fuel</t>
  </si>
  <si>
    <t xml:space="preserve">Consumption (L/h) x Operating hours x Diesel price.</t>
  </si>
  <si>
    <t xml:space="preserve">Maintenance</t>
  </si>
  <si>
    <t xml:space="preserve">Operating hours x (Preventive USD/h + Corrective USD/h).</t>
  </si>
  <si>
    <t xml:space="preserve">Articulation joint (SDR)</t>
  </si>
  <si>
    <t xml:space="preserve">Services = Hours / 50. Downtime hours = Services x 0.5. Cost = Downtime hours x (Technician + Idle machine) + Services x Grease. Zero with a maintenance-free joint.</t>
  </si>
  <si>
    <t xml:space="preserve">Performance (rollers)</t>
  </si>
  <si>
    <t xml:space="preserve">Base performance by weight and soil type x 1.25 with BOMAG technology active x Efficiency. Job hours = Volume / Adjusted performance.</t>
  </si>
  <si>
    <t xml:space="preserve">BMS15L (milling)</t>
  </si>
  <si>
    <t xml:space="preserve">Maintenance and tool wear x (1 - Wear reduction) when the BMS15L toolholder is active.</t>
  </si>
  <si>
    <t xml:space="preserve">ECOMODE (pavers)</t>
  </si>
  <si>
    <t xml:space="preserve">Effective consumption = Base consumption x Fuel-saving mode factor (ECOMODE 0.83; EcoPlus 0.75; VarioSpeed 0.90; Eco-mode 0.90).</t>
  </si>
  <si>
    <t xml:space="preserve">MAGMALIFE (pavers)</t>
  </si>
  <si>
    <t xml:space="preserve">Heating fuel = Hours / Hours per shift x Litres per shift x Diesel price. Screed wear = 3-year replacements (EUR) x EUR/USD / (3 x 1,000 h).</t>
  </si>
  <si>
    <t xml:space="preserve">Progressive TCO</t>
  </si>
  <si>
    <t xml:space="preserve">Price + Hours x Variable cost per hour - Resale value.</t>
  </si>
  <si>
    <t xml:space="preserve">NOTES ON THE DATA</t>
  </si>
  <si>
    <t xml:space="preserve">Screed wear</t>
  </si>
  <si>
    <t xml:space="preserve">The application reads "~24.000 €" as 24 € (the thousands separator is taken as a decimal point). This workbook uses the correct amount: 24,000 € = 8.64 USD/h.</t>
  </si>
  <si>
    <t xml:space="preserve">Base performance</t>
  </si>
  <si>
    <t xml:space="preserve">The four values per soil type are the ones the application calculates by weight interpolation. They are editable.</t>
  </si>
  <si>
    <t xml:space="preserve">Zero prices</t>
  </si>
  <si>
    <t xml:space="preserve">Milling machines, pavers and 24 SDR rollers have no price in the application. Enter them for a complete TCO.</t>
  </si>
  <si>
    <t xml:space="preserve">GENERAL PARAMETERS.</t>
  </si>
  <si>
    <t xml:space="preserve">They apply to every product family.</t>
  </si>
  <si>
    <t xml:space="preserve">Parameter</t>
  </si>
  <si>
    <t xml:space="preserve">Value</t>
  </si>
  <si>
    <t xml:space="preserve">Unit</t>
  </si>
  <si>
    <t xml:space="preserve">Note</t>
  </si>
  <si>
    <t xml:space="preserve">Diesel price</t>
  </si>
  <si>
    <t xml:space="preserve">USD/L</t>
  </si>
  <si>
    <t xml:space="preserve">Application default value.</t>
  </si>
  <si>
    <t xml:space="preserve">Operating time to analyse</t>
  </si>
  <si>
    <t xml:space="preserve">h</t>
  </si>
  <si>
    <t xml:space="preserve">EUR to USD exchange rate</t>
  </si>
  <si>
    <t xml:space="preserve">USD/EUR</t>
  </si>
  <si>
    <t xml:space="preserve">For data sheet values expressed in euros.</t>
  </si>
  <si>
    <t xml:space="preserve">Display currency</t>
  </si>
  <si>
    <t xml:space="preserve">Units per USD</t>
  </si>
  <si>
    <t xml:space="preserve">USD</t>
  </si>
  <si>
    <t xml:space="preserve">Application fallback rates. Update them as needed.</t>
  </si>
  <si>
    <t xml:space="preserve">EUR</t>
  </si>
  <si>
    <t xml:space="preserve">IDR</t>
  </si>
  <si>
    <t xml:space="preserve">KRW</t>
  </si>
  <si>
    <t xml:space="preserve">THB</t>
  </si>
  <si>
    <t xml:space="preserve">VND</t>
  </si>
  <si>
    <t xml:space="preserve">MYR</t>
  </si>
  <si>
    <t xml:space="preserve">PHP</t>
  </si>
  <si>
    <t xml:space="preserve">Selected currency</t>
  </si>
  <si>
    <t xml:space="preserve">Applied rate</t>
  </si>
  <si>
    <t xml:space="preserve">SDR - SINGLE DRUM ROLLER.</t>
  </si>
  <si>
    <t xml:space="preserve">Technical data and financial analysis. Amounts in USD.</t>
  </si>
  <si>
    <t xml:space="preserve">FAMILY PARAMETERS</t>
  </si>
  <si>
    <t xml:space="preserve">Diesel price (USD/L)</t>
  </si>
  <si>
    <t xml:space="preserve">Operating hours</t>
  </si>
  <si>
    <t xml:space="preserve">Soil type</t>
  </si>
  <si>
    <t xml:space="preserve">Work efficiency</t>
  </si>
  <si>
    <t xml:space="preserve">Volume to compact (m³)</t>
  </si>
  <si>
    <t xml:space="preserve">BOMAG technology multiplier</t>
  </si>
  <si>
    <t xml:space="preserve">Technician rate (USD/h)</t>
  </si>
  <si>
    <t xml:space="preserve">Idle machine (USD/h)</t>
  </si>
  <si>
    <t xml:space="preserve">Grease per service (USD)</t>
  </si>
  <si>
    <t xml:space="preserve">Greasing interval (h)</t>
  </si>
  <si>
    <t xml:space="preserve">Time per greasing (h)</t>
  </si>
  <si>
    <t xml:space="preserve">Edit the light yellow cells.</t>
  </si>
  <si>
    <t xml:space="preserve">Mixed soil</t>
  </si>
  <si>
    <t xml:space="preserve">BOMAG | BW211 D-5 SL (mat. 93500000)</t>
  </si>
  <si>
    <t xml:space="preserve">ID</t>
  </si>
  <si>
    <t xml:space="preserve">BOMAG | BW211 D-5 SL (mat. 93500004)</t>
  </si>
  <si>
    <t xml:space="preserve">BOMAG | BW211 D-5 SL (mat. 58400031)</t>
  </si>
  <si>
    <t xml:space="preserve">BOMAG | BW211 D-5 SL (mat. 58400033)</t>
  </si>
  <si>
    <t xml:space="preserve">BOMAG | BW212 D-5 SL</t>
  </si>
  <si>
    <t xml:space="preserve">BOMAG | BW213 D-5 SL</t>
  </si>
  <si>
    <t xml:space="preserve">BOMAG | BW213 D-5 SL TCD</t>
  </si>
  <si>
    <t xml:space="preserve">BOMAG | BW216 D-5 SL</t>
  </si>
  <si>
    <t xml:space="preserve">BOMAG | BW219 D-5 PL</t>
  </si>
  <si>
    <t xml:space="preserve">BOMAG | BW220 D-5 PL</t>
  </si>
  <si>
    <t xml:space="preserve">SAKAI | SV521D</t>
  </si>
  <si>
    <t xml:space="preserve">SAKAI | SV621D</t>
  </si>
  <si>
    <t xml:space="preserve">SAKAI | SV700D</t>
  </si>
  <si>
    <t xml:space="preserve">SAKAI | SV900-1</t>
  </si>
  <si>
    <t xml:space="preserve">DYNAPAC | CA25 D-Rhino</t>
  </si>
  <si>
    <t xml:space="preserve">DYNAPAC | CA35 D-Rhino</t>
  </si>
  <si>
    <t xml:space="preserve">DYNAPAC | CA2500D</t>
  </si>
  <si>
    <t xml:space="preserve">DYNAPAC | CA3500D</t>
  </si>
  <si>
    <t xml:space="preserve">DYNAPAC | CA4500D</t>
  </si>
  <si>
    <t xml:space="preserve">DYNAPAC REDLINE | DRS120D</t>
  </si>
  <si>
    <t xml:space="preserve">HAMM | HC110</t>
  </si>
  <si>
    <t xml:space="preserve">HAMM | HC119</t>
  </si>
  <si>
    <t xml:space="preserve">HAMM | H13i</t>
  </si>
  <si>
    <t xml:space="preserve">HAMM | H16i</t>
  </si>
  <si>
    <t xml:space="preserve">HAMM | H18i</t>
  </si>
  <si>
    <t xml:space="preserve">HAMM | H25i</t>
  </si>
  <si>
    <t xml:space="preserve">CATERPILLAR | CS10GC</t>
  </si>
  <si>
    <t xml:space="preserve">CATERPILLAR | CS11GC</t>
  </si>
  <si>
    <t xml:space="preserve">CATERPILLAR | CS12</t>
  </si>
  <si>
    <t xml:space="preserve">CATERPILLAR | CS13GC</t>
  </si>
  <si>
    <t xml:space="preserve">XCMG | XS113E</t>
  </si>
  <si>
    <t xml:space="preserve">XCMG | XS123</t>
  </si>
  <si>
    <t xml:space="preserve">XCMG | XS143J</t>
  </si>
  <si>
    <t xml:space="preserve">XCMG | XS162J</t>
  </si>
  <si>
    <t xml:space="preserve">XCMG | XS182</t>
  </si>
  <si>
    <t xml:space="preserve">XCMG | XS203J</t>
  </si>
  <si>
    <t xml:space="preserve">SANY | SSR120C-8</t>
  </si>
  <si>
    <t xml:space="preserve">SANY | SSR120C-10</t>
  </si>
  <si>
    <t xml:space="preserve">SANY | SSR120C-10S</t>
  </si>
  <si>
    <t xml:space="preserve">SHANTUI | SR16</t>
  </si>
  <si>
    <t xml:space="preserve">SHANTUI | SR22</t>
  </si>
  <si>
    <t xml:space="preserve">JCB | 116D</t>
  </si>
  <si>
    <t xml:space="preserve">JCB | VM115</t>
  </si>
  <si>
    <t xml:space="preserve">JCB | VM137</t>
  </si>
  <si>
    <t xml:space="preserve">NEW HOLLAND | V110</t>
  </si>
  <si>
    <t xml:space="preserve">AMMANN | ASC110</t>
  </si>
  <si>
    <t xml:space="preserve">SEM | 510</t>
  </si>
  <si>
    <t xml:space="preserve">CASE | 1107EX</t>
  </si>
  <si>
    <t xml:space="preserve">BRAND</t>
  </si>
  <si>
    <t xml:space="preserve">BOMAG</t>
  </si>
  <si>
    <t xml:space="preserve">SAKAI</t>
  </si>
  <si>
    <t xml:space="preserve">DYNAPAC</t>
  </si>
  <si>
    <t xml:space="preserve">DYNAPAC REDLINE</t>
  </si>
  <si>
    <t xml:space="preserve">HAMM</t>
  </si>
  <si>
    <t xml:space="preserve">CATERPILLAR</t>
  </si>
  <si>
    <t xml:space="preserve">XCMG</t>
  </si>
  <si>
    <t xml:space="preserve">SANY</t>
  </si>
  <si>
    <t xml:space="preserve">SHANTUI</t>
  </si>
  <si>
    <t xml:space="preserve">JCB</t>
  </si>
  <si>
    <t xml:space="preserve">NEW HOLLAND</t>
  </si>
  <si>
    <t xml:space="preserve">AMMANN</t>
  </si>
  <si>
    <t xml:space="preserve">SEM</t>
  </si>
  <si>
    <t xml:space="preserve">CASE</t>
  </si>
  <si>
    <t xml:space="preserve">MODEL</t>
  </si>
  <si>
    <t xml:space="preserve">BW211 D-5 SL</t>
  </si>
  <si>
    <t xml:space="preserve">BW212 D-5 SL</t>
  </si>
  <si>
    <t xml:space="preserve">BW213 D-5 SL</t>
  </si>
  <si>
    <t xml:space="preserve">BW213 D-5 SL TCD</t>
  </si>
  <si>
    <t xml:space="preserve">BW216 D-5 SL</t>
  </si>
  <si>
    <t xml:space="preserve">BW219 D-5 PL</t>
  </si>
  <si>
    <t xml:space="preserve">BW220 D-5 PL</t>
  </si>
  <si>
    <t xml:space="preserve">SV521D</t>
  </si>
  <si>
    <t xml:space="preserve">SV621D</t>
  </si>
  <si>
    <t xml:space="preserve">SV700D</t>
  </si>
  <si>
    <t xml:space="preserve">SV900-1</t>
  </si>
  <si>
    <t xml:space="preserve">CA25 D-Rhino</t>
  </si>
  <si>
    <t xml:space="preserve">CA35 D-Rhino</t>
  </si>
  <si>
    <t xml:space="preserve">CA2500D</t>
  </si>
  <si>
    <t xml:space="preserve">CA3500D</t>
  </si>
  <si>
    <t xml:space="preserve">CA4500D</t>
  </si>
  <si>
    <t xml:space="preserve">DRS120D</t>
  </si>
  <si>
    <t xml:space="preserve">HC110</t>
  </si>
  <si>
    <t xml:space="preserve">HC119</t>
  </si>
  <si>
    <t xml:space="preserve">H13i</t>
  </si>
  <si>
    <t xml:space="preserve">H16i</t>
  </si>
  <si>
    <t xml:space="preserve">H18i</t>
  </si>
  <si>
    <t xml:space="preserve">H25i</t>
  </si>
  <si>
    <t xml:space="preserve">CS10GC</t>
  </si>
  <si>
    <t xml:space="preserve">CS11GC</t>
  </si>
  <si>
    <t xml:space="preserve">CS12</t>
  </si>
  <si>
    <t xml:space="preserve">CS13GC</t>
  </si>
  <si>
    <t xml:space="preserve">XS113E</t>
  </si>
  <si>
    <t xml:space="preserve">XS123</t>
  </si>
  <si>
    <t xml:space="preserve">XS143J</t>
  </si>
  <si>
    <t xml:space="preserve">XS162J</t>
  </si>
  <si>
    <t xml:space="preserve">XS182</t>
  </si>
  <si>
    <t xml:space="preserve">XS203J</t>
  </si>
  <si>
    <t xml:space="preserve">SSR120C-8</t>
  </si>
  <si>
    <t xml:space="preserve">SSR120C-10</t>
  </si>
  <si>
    <t xml:space="preserve">SSR120C-10S</t>
  </si>
  <si>
    <t xml:space="preserve">SR16</t>
  </si>
  <si>
    <t xml:space="preserve">SR22</t>
  </si>
  <si>
    <t xml:space="preserve">116D</t>
  </si>
  <si>
    <t xml:space="preserve">VM115</t>
  </si>
  <si>
    <t xml:space="preserve">VM137</t>
  </si>
  <si>
    <t xml:space="preserve">V110</t>
  </si>
  <si>
    <t xml:space="preserve">ASC110</t>
  </si>
  <si>
    <t xml:space="preserve">510</t>
  </si>
  <si>
    <t xml:space="preserve">1107EX</t>
  </si>
  <si>
    <t xml:space="preserve">TECHNICAL SPECIFICATIONS</t>
  </si>
  <si>
    <t xml:space="preserve">Material no.</t>
  </si>
  <si>
    <t xml:space="preserve">93500000</t>
  </si>
  <si>
    <t xml:space="preserve">93500004</t>
  </si>
  <si>
    <t xml:space="preserve">58400031</t>
  </si>
  <si>
    <t xml:space="preserve">58400033</t>
  </si>
  <si>
    <t xml:space="preserve">58400036</t>
  </si>
  <si>
    <t xml:space="preserve">58400041</t>
  </si>
  <si>
    <t xml:space="preserve">-</t>
  </si>
  <si>
    <t xml:space="preserve">Weight (Kg)</t>
  </si>
  <si>
    <t xml:space="preserve">Engine</t>
  </si>
  <si>
    <t xml:space="preserve">Cummins 4BT 3.9</t>
  </si>
  <si>
    <t xml:space="preserve">Cummins 4BTAA 3.9</t>
  </si>
  <si>
    <t xml:space="preserve">Deutz BF4M 2012 C</t>
  </si>
  <si>
    <t xml:space="preserve">Deutz TCD 2012 L04 2V</t>
  </si>
  <si>
    <t xml:space="preserve">Deutz TCD 2021 L04 2V</t>
  </si>
  <si>
    <t xml:space="preserve">Deutz TCD 2013 L04</t>
  </si>
  <si>
    <t xml:space="preserve">Deutz TCD 2012 L06</t>
  </si>
  <si>
    <t xml:space="preserve">ISUZU 4BG1T (Tier 2)</t>
  </si>
  <si>
    <t xml:space="preserve">ISUZU BB-6BG1TRJ</t>
  </si>
  <si>
    <t xml:space="preserve">ISUZU AH-4HK1XYLB-01</t>
  </si>
  <si>
    <t xml:space="preserve">Cummins QSF3.8 (T3)</t>
  </si>
  <si>
    <t xml:space="preserve">Cummins QSF3.8</t>
  </si>
  <si>
    <t xml:space="preserve">Cummins QSB4.5</t>
  </si>
  <si>
    <t xml:space="preserve">Cummins QSB6.7</t>
  </si>
  <si>
    <t xml:space="preserve">Cummins QSC8.3</t>
  </si>
  <si>
    <t xml:space="preserve">Dynapac 4-cyl turbo</t>
  </si>
  <si>
    <t xml:space="preserve">JDPS 4045PTE</t>
  </si>
  <si>
    <t xml:space="preserve">Deutz TCD2012</t>
  </si>
  <si>
    <t xml:space="preserve">Deutz TCD3.6 L6</t>
  </si>
  <si>
    <t xml:space="preserve">Deutz TCD3.6</t>
  </si>
  <si>
    <t xml:space="preserve">Liebherr D946</t>
  </si>
  <si>
    <t xml:space="preserve">Cat C4.4</t>
  </si>
  <si>
    <t xml:space="preserve">Cat C4.4 (Tier 3)</t>
  </si>
  <si>
    <t xml:space="preserve">Cat C7.1</t>
  </si>
  <si>
    <t xml:space="preserve">Weichai WP4</t>
  </si>
  <si>
    <t xml:space="preserve">Cummins B5.9</t>
  </si>
  <si>
    <t xml:space="preserve">ISUZU 4JJ1</t>
  </si>
  <si>
    <t xml:space="preserve">DONGFENG CUMMINS QSB3.9-C150-3</t>
  </si>
  <si>
    <t xml:space="preserve">JCB DIESELMAX TCA-85</t>
  </si>
  <si>
    <t xml:space="preserve">JCB DieselMAX</t>
  </si>
  <si>
    <t xml:space="preserve">S8000 4-stroke</t>
  </si>
  <si>
    <t xml:space="preserve">Cummins QSB 4.5-C160</t>
  </si>
  <si>
    <t xml:space="preserve">WP4G130E22</t>
  </si>
  <si>
    <t xml:space="preserve">S 8000</t>
  </si>
  <si>
    <t xml:space="preserve">Compaction Width (m)</t>
  </si>
  <si>
    <t xml:space="preserve">Power (HP)</t>
  </si>
  <si>
    <t xml:space="preserve">Amplitude (mm)</t>
  </si>
  <si>
    <t xml:space="preserve">1.80 / 0.95</t>
  </si>
  <si>
    <t xml:space="preserve">1.80 / 0.96</t>
  </si>
  <si>
    <t xml:space="preserve">1.90 / 0.96</t>
  </si>
  <si>
    <t xml:space="preserve">2.10 / 1.20</t>
  </si>
  <si>
    <t xml:space="preserve">2.05/0.90</t>
  </si>
  <si>
    <t xml:space="preserve">2.03/0.90</t>
  </si>
  <si>
    <t xml:space="preserve">2.0 / 0.9</t>
  </si>
  <si>
    <t xml:space="preserve">1.9 / 1.0</t>
  </si>
  <si>
    <t xml:space="preserve">1.8/0.9</t>
  </si>
  <si>
    <t xml:space="preserve">1.7/0.8</t>
  </si>
  <si>
    <t xml:space="preserve">1.80/0.90</t>
  </si>
  <si>
    <t xml:space="preserve">2.00/0.95</t>
  </si>
  <si>
    <t xml:space="preserve">2.10/1.05</t>
  </si>
  <si>
    <t xml:space="preserve">1.95/0.85</t>
  </si>
  <si>
    <t xml:space="preserve">1.90/0.90</t>
  </si>
  <si>
    <t xml:space="preserve">1.90/0.80</t>
  </si>
  <si>
    <t xml:space="preserve">2.13/0.95</t>
  </si>
  <si>
    <t xml:space="preserve">2.10/0.90</t>
  </si>
  <si>
    <t xml:space="preserve">2.00/0.90</t>
  </si>
  <si>
    <t xml:space="preserve">2.0/1.0</t>
  </si>
  <si>
    <t xml:space="preserve">1.88/0.91</t>
  </si>
  <si>
    <t xml:space="preserve">2.1/0.98</t>
  </si>
  <si>
    <t xml:space="preserve">1.90/0.95</t>
  </si>
  <si>
    <t xml:space="preserve">1.86/</t>
  </si>
  <si>
    <t xml:space="preserve">2.00/1.00</t>
  </si>
  <si>
    <t xml:space="preserve">2.0/0.9</t>
  </si>
  <si>
    <t xml:space="preserve">2.1/1.0</t>
  </si>
  <si>
    <t xml:space="preserve">1.8/0.8</t>
  </si>
  <si>
    <t xml:space="preserve">1.85/0.9</t>
  </si>
  <si>
    <t xml:space="preserve">Static Linear Load (Kg/cm)</t>
  </si>
  <si>
    <t xml:space="preserve">Gradeability (%)</t>
  </si>
  <si>
    <t xml:space="preserve">Country of origin</t>
  </si>
  <si>
    <t xml:space="preserve">India</t>
  </si>
  <si>
    <t xml:space="preserve">China</t>
  </si>
  <si>
    <t xml:space="preserve">Sweden/Brazil</t>
  </si>
  <si>
    <t xml:space="preserve">Germany</t>
  </si>
  <si>
    <t xml:space="preserve">Brazil</t>
  </si>
  <si>
    <t xml:space="preserve">China/Brazil</t>
  </si>
  <si>
    <t xml:space="preserve">Max compaction depth (cm)</t>
  </si>
  <si>
    <t xml:space="preserve">Data sheet performance (m³/h)</t>
  </si>
  <si>
    <t xml:space="preserve">270 - 540</t>
  </si>
  <si>
    <t xml:space="preserve">220 - 350</t>
  </si>
  <si>
    <t xml:space="preserve">250 - 400</t>
  </si>
  <si>
    <t xml:space="preserve">200</t>
  </si>
  <si>
    <t xml:space="preserve">300 - 500</t>
  </si>
  <si>
    <t xml:space="preserve">200 - 350</t>
  </si>
  <si>
    <t xml:space="preserve">200 - 300</t>
  </si>
  <si>
    <t xml:space="preserve">280 - 450</t>
  </si>
  <si>
    <t xml:space="preserve">Compaction Assistant</t>
  </si>
  <si>
    <t xml:space="preserve">BOMAG ECONOMIZER
Visual system that allows operators to measure compaction progress in real time. Uses an LED scale in the cab to show the achieved compaction level, helping to avoid over- or under-compaction. (Standard)
BOMAG TERRAMETER
System that measures soil stiffness through drum vibration. Provides real-time reading of the compacted material's modulus of elasticity, enabling precise compaction control and job traceability. Evib - MN/m²</t>
  </si>
  <si>
    <t xml:space="preserve">Not applicable</t>
  </si>
  <si>
    <t xml:space="preserve">Not applicable
Dynapac Compaction Meter (DCM) uses an accelerometer sensor mounted on the compactor drum that measures vibrations generated during operation. These signals are processed and displayed as CMV. When the CMV stops increasing, compaction is considered achieved</t>
  </si>
  <si>
    <t xml:space="preserve">Not applicable
HAMM SmartCompaction Value (VA Series only)
The system determines the actual load capacity value (SCV - Smart Compaction Value) of the soil in MN/m². The compaction assistant then automatically positions the unbalance system in the specially developed VA drum for all situations, so that it always oscillates with optimal amplitude</t>
  </si>
  <si>
    <t xml:space="preserve">CAT Machine Drive Power (MDP)
This system measures ground resistance during compaction, providing real-time data on equipment working capacity and soil conditions. It allows adjusting compaction intensity to avoid engine overload and improve efficiency. (Optional)
CAT Compaction Meter Value (CMV) System that measures soil stiffness in real time as the vibratory drum passes over it. The value is displayed in the cab, allowing operators to monitor compaction progress.</t>
  </si>
  <si>
    <t xml:space="preserve">Not applicable
CAT Compaction Meter Value (CMV) System that measures soil stiffness in real time as the vibratory drum passes over it. The value is displayed in the cab, allowing operators to monitor compaction progress.</t>
  </si>
  <si>
    <t xml:space="preserve">Not applicable
Not applicable</t>
  </si>
  <si>
    <t xml:space="preserve">IntelliCompaction Provides a relative compaction value, helping achieve consistent, uniform compaction across the entire patch.
Not applicable</t>
  </si>
  <si>
    <t xml:space="preserve">AMMANN ACEforce
Active vibration adjustment technology that continuously adjusts drum amplitude and frequency according to ground conditions, improving efficiency and compaction uniformity.
Not applicable</t>
  </si>
  <si>
    <t xml:space="preserve">Telemetry</t>
  </si>
  <si>
    <t xml:space="preserve">Telematics</t>
  </si>
  <si>
    <t xml:space="preserve">Dyn@lizer</t>
  </si>
  <si>
    <t xml:space="preserve">Smart Doc</t>
  </si>
  <si>
    <t xml:space="preserve">Vision Link</t>
  </si>
  <si>
    <t xml:space="preserve">Innovative Technologies</t>
  </si>
  <si>
    <t xml:space="preserve">Economizer, TERRAMETER (Real Evib), VARIOCONTROL, ECOMODE, TELEMATIC</t>
  </si>
  <si>
    <t xml:space="preserve">Dynapac Compaction meter (DCM), Dyn@lyzer</t>
  </si>
  <si>
    <t xml:space="preserve">EcoStop, SmartCompaction, adaptive vibration</t>
  </si>
  <si>
    <t xml:space="preserve">MDP, CMV, AccuGrade Compaction, Eco-mode, Vision Link</t>
  </si>
  <si>
    <t xml:space="preserve">CMV, AccuGrade Compaction, Eco-mode, Vision Link</t>
  </si>
  <si>
    <t xml:space="preserve">XCMG Telematics</t>
  </si>
  <si>
    <t xml:space="preserve">Automatic traction, dual vibration, telematics-ready</t>
  </si>
  <si>
    <t xml:space="preserve">LiveLinks Telematics, CCOMPATRONIC (compaction measurement device)</t>
  </si>
  <si>
    <t xml:space="preserve">Basic ReadyKit (on some versions), optimized cab</t>
  </si>
  <si>
    <t xml:space="preserve">ECOdrop, telemetry, automatic vibration control</t>
  </si>
  <si>
    <t xml:space="preserve">UNIQUE VALUE PROPOSITIONS (USP)</t>
  </si>
  <si>
    <t xml:space="preserve">USP 1 - Operation</t>
  </si>
  <si>
    <t xml:space="preserve">Intuitive Operation
* One switch for each function
* Intuitive symbols make operation easy</t>
  </si>
  <si>
    <t xml:space="preserve">Technical specifications
* Engine ISUZU 4BG1T (Tier 2)
* 118 HP
* Operating weight 10,720 kg</t>
  </si>
  <si>
    <t xml:space="preserve">Technical specifications
* Engine ISUZU 4BG1T (Tier 2)
* 131 HP
* Operating weight 13,020 kg</t>
  </si>
  <si>
    <t xml:space="preserve">Technical specifications
* Engine ISUZU BB-6BG1TRJ
* 217 HP
* Operating weight 14,950 kg</t>
  </si>
  <si>
    <t xml:space="preserve">Technical specifications
* Engine ISUZU AH-4HK1XYLB-01
* 166 HP
* Operating weight 19,350 kg</t>
  </si>
  <si>
    <t xml:space="preserve">Intuitive controls: Simple levers and instrument panel with clear indicators, easy to operate even by personnel with little experience.</t>
  </si>
  <si>
    <t xml:space="preserve">Technical specifications
* Engine Cummins QSB4.5
* 130 HP
* Operating weight 10,000 kg</t>
  </si>
  <si>
    <t xml:space="preserve">Technical specifications
* Engine Cummins QSC8.3
* 250 HP
* Operating weight 21,000 kg</t>
  </si>
  <si>
    <t xml:space="preserve">Technical specifications
* Engine Dynapac 4-cyl turbo
* 105 HP
* Operating weight 11,400 kg</t>
  </si>
  <si>
    <t xml:space="preserve">Driving and manoeuvrability
* Integrated pendulum articulation lock
* Traction control for optimal power transmission</t>
  </si>
  <si>
    <t xml:space="preserve">Technical specifications
* Engine Deutz TCD2012
* 130 HP
* Operating weight 12,600 kg</t>
  </si>
  <si>
    <t xml:space="preserve">Technical specifications
* Engine Deutz TCD3.6 L6
* 168 HP
* Operating weight 16,430 kg</t>
  </si>
  <si>
    <t xml:space="preserve">Technical specifications
* Engine Deutz TCD3.6
* 215 HP
* Operating weight 18,000 kg</t>
  </si>
  <si>
    <t xml:space="preserve">Technical specifications
* Engine Liebherr D946
* 215 HP
* Operating weight 24,925 kg</t>
  </si>
  <si>
    <t xml:space="preserve">Ergonomic and simple controls:
* Single control lever for travel, vibration and steering.
* Easy-to-read digital instrumentation.</t>
  </si>
  <si>
    <t xml:space="preserve">Ergonomic and simple controls:
* Single control lever for travel, vibration and steering.
* Display integrated in control lever.
* Assisted speed change
* Easy-to-read digital instrumentation.</t>
  </si>
  <si>
    <t xml:space="preserve">Technical specifications
* Engine Cat C4.4 (Tier 3)
* 100 HP
* Operating weight 12,700 kg</t>
  </si>
  <si>
    <t xml:space="preserve">Robust design, excellent maintenance access and standardised components for maximum field availability.</t>
  </si>
  <si>
    <t xml:space="preserve">Technical specifications
* Engine Cummins B5.9
* 150 HP
* Operating weight 14,000 kg</t>
  </si>
  <si>
    <t xml:space="preserve">Technical specifications
* Engine Cummins B5.9
* 161 HP
* Operating weight 16,000 kg</t>
  </si>
  <si>
    <t xml:space="preserve">Technical specifications
* Engine Cummins B5.9
* 174 HP
* Operating weight 18,000 kg</t>
  </si>
  <si>
    <t xml:space="preserve">Technical specifications
* Engine Cummins QSB6.7
* 200 HP
* Operating weight 20,000 kg</t>
  </si>
  <si>
    <t xml:space="preserve">Technical specifications
* Engine Cummins QSB4.5
* 145 HP
* Operating weight 11,580 kg</t>
  </si>
  <si>
    <t xml:space="preserve">Technical specifications
* Engine ISUZU 4JJ1
* 130 HP
* Operating weight 12,000 kg</t>
  </si>
  <si>
    <t xml:space="preserve">Easy-to-use controls:
* Joystick-style lever for steering, vibration and gear change.</t>
  </si>
  <si>
    <t xml:space="preserve">Technical specifications
* Engine Cummins QSB6.7
* 168 HP
* Operating weight 16,000 kg</t>
  </si>
  <si>
    <t xml:space="preserve">Technical specifications
* Engine Cummins QSC8.3
* 236 HP
* Operating weight 22,000 kg</t>
  </si>
  <si>
    <t xml:space="preserve">Technical specifications
* Engine JCB DieselMAX
* 125 HP
* Operating weight 13,700 kg</t>
  </si>
  <si>
    <t xml:space="preserve">Basic mechanical controls:
* Easy to use, ideal for operators with little training.
* Forward/reverse lever with independent vibration control.</t>
  </si>
  <si>
    <t xml:space="preserve">Operator station
Intuitive machine control makes operation easy. Advanced functions ensure even beginners are productive and high-performing.</t>
  </si>
  <si>
    <t xml:space="preserve">Its operation system is very simple: only two control levers, one for the throttle and one for forward/reverse and brake.</t>
  </si>
  <si>
    <t xml:space="preserve">USP 2 - Performance</t>
  </si>
  <si>
    <t xml:space="preserve">Higher compaction performance
* Maximum amplitudes for deeper compaction effect (Larger amplitude 2.2 mm)
* Flexibility in sheep's foot kit mounting</t>
  </si>
  <si>
    <t xml:space="preserve">Compaction performance
* Amplitude 2.05/0.90 mm
* Centrifugal force 260/ kN
* Static linear load 28 kg/cm</t>
  </si>
  <si>
    <t xml:space="preserve">Compaction performance
* Amplitude 2.03/0.90 mm
* Centrifugal force 260/ kN
* Static linear load 34 kg/cm</t>
  </si>
  <si>
    <t xml:space="preserve">Compaction performance
* Amplitude 2.0 / 0.9 mm
* Centrifugal force 275 / 220 kN
* Static linear load 39.9 kg/cm</t>
  </si>
  <si>
    <t xml:space="preserve">Compaction performance
* Amplitude 1.9 / 1.0 mm
* Centrifugal force 343 / 245 kN
* Static linear load 51.4 kg/cm</t>
  </si>
  <si>
    <t xml:space="preserve">Effective compaction
* Thanks to its operating weight and power, it achieves efficient compaction in fewer passes.
* Dual amplitude: Allows selection between high and low amplitude for different materials (granular vs cohesive), optimising performance.</t>
  </si>
  <si>
    <t xml:space="preserve">Compaction performance
* Amplitude 1.80/0.90 mm
* Centrifugal force 205/100 kN
* Static linear load 26 kg/cm</t>
  </si>
  <si>
    <t xml:space="preserve">Compaction performance
* Amplitude 2.10/1.05 mm
* Centrifugal force 340/170 kN
* Static linear load 49.3 kg/cm</t>
  </si>
  <si>
    <t xml:space="preserve">Compaction performance
* Static linear load 32 kg/cm</t>
  </si>
  <si>
    <t xml:space="preserve">Compaction quality
* Smart Compact assistant for automatic adjustment of compaction power
* High linear load and centrifugal force</t>
  </si>
  <si>
    <t xml:space="preserve">Compaction performance
* Amplitude 1.90/0.80 mm
* Centrifugal force 213/90 kN
* Static linear load 29.6 kg/cm</t>
  </si>
  <si>
    <t xml:space="preserve">Compaction performance
* Amplitude 2.13/0.95 mm
* Centrifugal force 328/150 kN
* Static linear load 38.4 kg/cm</t>
  </si>
  <si>
    <t xml:space="preserve">Compaction performance
* Amplitude 2.10/0.90 mm
* Centrifugal force 354/160 kN
* Static linear load 42.1 kg/cm</t>
  </si>
  <si>
    <t xml:space="preserve">Compaction performance
* Amplitude 2.00/0.90 mm
* Centrifugal force 380/190 kN
* Static linear load 58.3 kg/cm</t>
  </si>
  <si>
    <t xml:space="preserve">Higher static linear load
Heavy drum with excellent ground contact for effective compaction depth.</t>
  </si>
  <si>
    <t xml:space="preserve">Designed with a dual-pump drive system; both pumps supply separate dedicated flow to the drum drive motor and rear axle motor, ensuring exceptional climbing and traction in both forward and reverse.</t>
  </si>
  <si>
    <t xml:space="preserve">Compaction performance
* Amplitude 2.10/1.05 mm
* Centrifugal force 208/100 kN
* Static linear load 30 kg/cm</t>
  </si>
  <si>
    <t xml:space="preserve">Compaction quality
* Adequate performance for thick-layer and cohesive material compaction.
* Drum design that reduces bounce and improves uniformity.</t>
  </si>
  <si>
    <t xml:space="preserve">Compaction performance
* Amplitude 1.90/0.95 mm
* Centrifugal force 230/115 kN</t>
  </si>
  <si>
    <t xml:space="preserve">Compaction performance
* Amplitude 2.00/0.95 mm
* Centrifugal force 260/130 kN</t>
  </si>
  <si>
    <t xml:space="preserve">Compaction performance
* Amplitude 1.86/ mm
* Static linear load 53.9 kg/cm</t>
  </si>
  <si>
    <t xml:space="preserve">Compaction performance
* Amplitude 2.00/1.00 mm
* Centrifugal force 310/155 kN</t>
  </si>
  <si>
    <t xml:space="preserve">Compaction performance
* Amplitude 1.80/0.90 mm
* Centrifugal force 190/95 kN</t>
  </si>
  <si>
    <t xml:space="preserve">Compaction performance
* Amplitude 1.80/0.90 mm
* Centrifugal force 205/100 kN</t>
  </si>
  <si>
    <t xml:space="preserve">Compaction quality
* Centrifugal force up to 320 kN, one of the highest in the segment.
* Reliable vibration system with good energy transfer.
* Balanced weight distribution for uniform compaction.</t>
  </si>
  <si>
    <t xml:space="preserve">Compaction performance
* Amplitude 2.0/0.9 mm</t>
  </si>
  <si>
    <t xml:space="preserve">Compaction performance
* Amplitude 2.1/1.0 mm</t>
  </si>
  <si>
    <t xml:space="preserve">Compaction quality
* Good performance on compactable soils in road, rural or platform works.
* Robust vibration system</t>
  </si>
  <si>
    <t xml:space="preserve">Compaction performance
* Amplitude 2.00/1.00 mm</t>
  </si>
  <si>
    <t xml:space="preserve">Greater traction and maneuverability
Thanks to its dual-drive system (Drum Drive), the New Holland roller easily handles steep terrain, while its 37° turning angle provides exceptional maneuverability in tight spaces.</t>
  </si>
  <si>
    <t xml:space="preserve">High compaction performance
Faster compaction of thicker layers in fewer passes.</t>
  </si>
  <si>
    <t xml:space="preserve">Widely used in road works, sub-bases, parking lots, construction sites, water and sewer excavations, as well as on slopes and irregular surfaces.</t>
  </si>
  <si>
    <t xml:space="preserve">The optional drum drive system incorporates a high-torque motor in the front frame, providing excellent climbing ability (36%) and optimized traction.</t>
  </si>
  <si>
    <t xml:space="preserve">USP 3 - Steering and Articulation</t>
  </si>
  <si>
    <t xml:space="preserve">Maintenance-free articulation joint</t>
  </si>
  <si>
    <t xml:space="preserve">Articulation joint
Offers a tight turning radius and precise terrain following.</t>
  </si>
  <si>
    <t xml:space="preserve">3-point pendulum articulation for superior directional stability</t>
  </si>
  <si>
    <t xml:space="preserve">Articulation joint
Oscillating articulation with robust design.</t>
  </si>
  <si>
    <t xml:space="preserve">Articulation with hydraulic oscillation and large turning angle.</t>
  </si>
  <si>
    <t xml:space="preserve">Articulation joint
Offers 37° turning radius and precise ground tracking.</t>
  </si>
  <si>
    <t xml:space="preserve">Center articulation with hydraulic lock and automatic oscillation</t>
  </si>
  <si>
    <t xml:space="preserve">USP 4 - Comfort and Operation</t>
  </si>
  <si>
    <t xml:space="preserve">Comfortable and safe work
* Spacious work area with excellent visibility</t>
  </si>
  <si>
    <t xml:space="preserve">Operating control and comfort
* Full visibility of drum and work area.
DCM uses an accelerometer sensor mounted on the compactor drum that measures vibrations generated during operation</t>
  </si>
  <si>
    <t xml:space="preserve">Control and comfort
* Spacious layout and ease of use
* Ergonomic work conditions optimised with Easy Drive operating concept</t>
  </si>
  <si>
    <t xml:space="preserve">Platform with adjustable seat, hand controls, and excellent 360° visibility.
Automatic vibration (Auto Vibe): The system can automatically enable/disable vibration based on roller speed or when stopped, improving process control.</t>
  </si>
  <si>
    <t xml:space="preserve">Control and comfort
* Optional cab with good visibility.
* Digital instrument panel with work indicators.
* Adjustable seat, but less comfort than premium models.</t>
  </si>
  <si>
    <t xml:space="preserve">Control and comfort
* Optional ROPS/FOPS cab with air conditioning and pneumatic seat.
* Joystick-style lever for steering, vibration and gear change.
* Low vibration level transmitted to the operator.</t>
  </si>
  <si>
    <t xml:space="preserve">Control and Comfort
Open or enclosed cab with simple controls.
Analog panel, no digital diagnostics.
Ideal for operators with little experience.</t>
  </si>
  <si>
    <t xml:space="preserve">Comfortable cab
Protected by ROPS/FOPS structure, includes air conditioning and is designed to absorb and minimize operating vibrations for a smooth, stress-free work experience.</t>
  </si>
  <si>
    <t xml:space="preserve">Comfortable use
• Simple instrument panel design for easy, safe control
• For maximum comfort the operator platform is mounted on rubber bushings that dampen vibrations</t>
  </si>
  <si>
    <t xml:space="preserve">Control and Comfort
Efficient air conditioning and heating system with 8 diffusers</t>
  </si>
  <si>
    <t xml:space="preserve">USP 5 - Compaction systems/measurement</t>
  </si>
  <si>
    <t xml:space="preserve">Efficient compaction
Real-time measurement and documentation using: ECONOMIZER, TERRAMETER and BOMAP</t>
  </si>
  <si>
    <t xml:space="preserve">Compaction assistance system
Digital interfaces
* John Deere Operations CenterTM
* Track Assist &amp; WPT Compacting
* Smart Compact</t>
  </si>
  <si>
    <t xml:space="preserve">* Highest amplitude on the market
* CAT-exclusive MDP: Measures drum travel resistance as a direct indicator of compaction level (key advantage vs. traditional models).</t>
  </si>
  <si>
    <t xml:space="preserve">* Highest amplitude on the market</t>
  </si>
  <si>
    <t xml:space="preserve">Intelligent vibration control system that adjusts power according to soil resistance, avoiding over-compaction.</t>
  </si>
  <si>
    <t xml:space="preserve">Efficient compaction
Equipped with two vibration stages for different soil types, plus a sheep's foot kit, ensuring excellent results on any job.</t>
  </si>
  <si>
    <t xml:space="preserve">ACE technology
* ACEpro continuously adjusts frequency and amplitude based on measured values:
* ACEpro eliminates drum jumps, minimizing risk of over-compaction or material damage
* ACEforce shows the compaction process via operator guidance</t>
  </si>
  <si>
    <t xml:space="preserve">USP 6 - Maintenance</t>
  </si>
  <si>
    <t xml:space="preserve">Easy maintenance
* All components arranged for easy access
* Less maintenance on the cooling system due to the high air intake point, less prone to contamination</t>
  </si>
  <si>
    <t xml:space="preserve">Maintenance and service
Easy-access design: The engine hood opens fully, allowing quick access to daily maintenance points (filters, levels, belts).</t>
  </si>
  <si>
    <t xml:space="preserve">Efficient maintenance
All maintenance points, oil and water cooling and battery are easily accessible and concentrated on one side of the machine</t>
  </si>
  <si>
    <t xml:space="preserve">Maintenance and Service
Low-maintenance design:
* Extended maintenance intervals.
* Fewer lubrication points thanks to sealed components.</t>
  </si>
  <si>
    <t xml:space="preserve">Maintenance and service
Side-tilting hood, quick access to engine and hydraulic components.
Centralised electrical modules.
Weichai or Cummins engines with good parts availability.</t>
  </si>
  <si>
    <t xml:space="preserve">Maintenance and service
* Full-opening hood with access to 3 sides of the engine.
* Electronic diagnostic system from the control screen.
* Hydraulic and electrical components arranged for easy inspection.</t>
  </si>
  <si>
    <t xml:space="preserve">Maintenance and Service
* Highly reliable JCB DieselMax engine, no complex electronics.
* Full-opening hood for quick access.
* Less need for specialized technicians.</t>
  </si>
  <si>
    <t xml:space="preserve">Easy maintenance
One-piece hood and engine compartment design allows easy access to essential components, improving operator safety and machine availability.</t>
  </si>
  <si>
    <t xml:space="preserve">Easy-maintenance design
Minimized downtime thanks to simple maintenance processes and robust machine and component design.</t>
  </si>
  <si>
    <t xml:space="preserve">Eccentric ‘pod’ design.
Dual amplitude and frequency with piston pump and motor that reduces maintenance routines.</t>
  </si>
  <si>
    <t xml:space="preserve">Maintenance and Service
Daily and regular maintenance is possible from ground level thanks to the one-piece tilting hood. Reduced downtime and operating costs mean higher productivity and profitability.</t>
  </si>
  <si>
    <t xml:space="preserve">FINANCIAL PARAMETERS</t>
  </si>
  <si>
    <t xml:space="preserve">CIF price (USD)</t>
  </si>
  <si>
    <t xml:space="preserve">Fuel consumption (L/h)</t>
  </si>
  <si>
    <t xml:space="preserve">L/h</t>
  </si>
  <si>
    <t xml:space="preserve">Preventive maintenance (USD/h)</t>
  </si>
  <si>
    <t xml:space="preserve">USD/h</t>
  </si>
  <si>
    <t xml:space="preserve">Corrective maintenance (USD/h)</t>
  </si>
  <si>
    <t xml:space="preserve">Estimated resale value (USD)</t>
  </si>
  <si>
    <t xml:space="preserve">YES / NO</t>
  </si>
  <si>
    <t xml:space="preserve">YES</t>
  </si>
  <si>
    <t xml:space="preserve">NO</t>
  </si>
  <si>
    <t xml:space="preserve">BOMAG technology active (Economizer / Terrameter)</t>
  </si>
  <si>
    <t xml:space="preserve">COMPACTION PERFORMANCE</t>
  </si>
  <si>
    <t xml:space="preserve">Base performance rock (m³/h)</t>
  </si>
  <si>
    <t xml:space="preserve">m³/h</t>
  </si>
  <si>
    <t xml:space="preserve">Base performance gravel (m³/h)</t>
  </si>
  <si>
    <t xml:space="preserve">Base performance mixed soil (m³/h)</t>
  </si>
  <si>
    <t xml:space="preserve">Base performance clay (m³/h)</t>
  </si>
  <si>
    <t xml:space="preserve">Base performance, selected soil (m³/h)</t>
  </si>
  <si>
    <t xml:space="preserve">Effective performance (m³/h)</t>
  </si>
  <si>
    <t xml:space="preserve">Efficiency-adjusted performance (m³/h)</t>
  </si>
  <si>
    <t xml:space="preserve">Hours for the volume (h)</t>
  </si>
  <si>
    <t xml:space="preserve">Operating cost per hour (USD/h)</t>
  </si>
  <si>
    <t xml:space="preserve">Job cost for the volume (USD)</t>
  </si>
  <si>
    <t xml:space="preserve">COSTS FOR THE PERIOD</t>
  </si>
  <si>
    <t xml:space="preserve">Fuel cost (USD)</t>
  </si>
  <si>
    <t xml:space="preserve">Maintenance cost (USD)</t>
  </si>
  <si>
    <t xml:space="preserve">Greasing services</t>
  </si>
  <si>
    <t xml:space="preserve">no.</t>
  </si>
  <si>
    <t xml:space="preserve">Articulation joint cost (USD)</t>
  </si>
  <si>
    <t xml:space="preserve">RESULT FOR THE PERIOD</t>
  </si>
  <si>
    <t xml:space="preserve">TCO for the period (USD)</t>
  </si>
  <si>
    <t xml:space="preserve">Variable cost per hour (USD/h)</t>
  </si>
  <si>
    <t xml:space="preserve">TCO per hour (USD/h)</t>
  </si>
  <si>
    <t xml:space="preserve">TCO in selected currency</t>
  </si>
  <si>
    <t xml:space="preserve">TCO difference vs reference (USD)</t>
  </si>
  <si>
    <t xml:space="preserve">DATA RECORDED IN THE APPLICATION</t>
  </si>
  <si>
    <t xml:space="preserve">Reference usage time (h)</t>
  </si>
  <si>
    <t xml:space="preserve">Recorded static TCO (USD)</t>
  </si>
  <si>
    <t xml:space="preserve">Recorded TCO timeline</t>
  </si>
  <si>
    <t xml:space="preserve">1000 h: price 42800 / TCO 109072.78
1500 h: price 50200 / TCO 109072.78
2000 h: price 57600 / TCO 109072.78
2500 h: price 65000 / TCO 109072.78
3000 h: price 72400 / TCO 109072.78</t>
  </si>
  <si>
    <t xml:space="preserve">1000 h: price 44430 / TCO 110854
1500 h: price 51830 / TCO 110854
2000 h: price 59230 / TCO 110854
2500 h: price 66630 / TCO 110854
3000 h: price 74030 / TCO 110854</t>
  </si>
  <si>
    <t xml:space="preserve">1000 h: price 44980 / TCO 117170.18
1500 h: price 52680 / TCO 117170.18
2000 h: price 60380 / TCO 117170.18
2500 h: price 68080 / TCO 117170.18
3000 h: price 75780 / TCO 117170.18</t>
  </si>
  <si>
    <t xml:space="preserve">1000 h: price 44980 / TCO 120140
1500 h: price 52680 / TCO 120140
2000 h: price 60380 / TCO 120140
2500 h: price 68080 / TCO 120140
3000 h: price 75780 / TCO 120140</t>
  </si>
  <si>
    <t xml:space="preserve">1000 h: price 688700 / TCO 122324
1500 h: price 802660 / TCO 122324
2000 h: price 916620 / TCO 122324
2500 h: price 1030580 / TCO 122324
3000 h: price 1144540 / TCO 122324</t>
  </si>
  <si>
    <t xml:space="preserve">1000 h: price 713802 / TCO 126588
1500 h: price 827762 / TCO 126588
2000 h: price 941722 / TCO 126588
2500 h: price 1055682 / TCO 126588
3000 h: price 1169642 / TCO 126588</t>
  </si>
  <si>
    <t xml:space="preserve">PROGRESSIVE TCO (USD)</t>
  </si>
  <si>
    <t xml:space="preserve">Cumulative TCO at</t>
  </si>
  <si>
    <t xml:space="preserve">ARTICULATION JOINT ANALYSIS</t>
  </si>
  <si>
    <t xml:space="preserve">Item</t>
  </si>
  <si>
    <t xml:space="preserve">Competitor</t>
  </si>
  <si>
    <t xml:space="preserve">Savings</t>
  </si>
  <si>
    <t xml:space="preserve">Maintenance-free joint</t>
  </si>
  <si>
    <t xml:space="preserve">Downtime hours</t>
  </si>
  <si>
    <t xml:space="preserve">Labour</t>
  </si>
  <si>
    <t xml:space="preserve">Supplies / grease</t>
  </si>
  <si>
    <t xml:space="preserve">Lost productivity</t>
  </si>
  <si>
    <t xml:space="preserve">Total articulation joint</t>
  </si>
  <si>
    <t xml:space="preserve">COMPACTION PERFORMANCE TABLES (SDR, LTR, HTR)</t>
  </si>
  <si>
    <t xml:space="preserve">Performance by operating weight and soil type (m³/h). Basis of the interpolation.</t>
  </si>
  <si>
    <t xml:space="preserve">Operating weight (t)</t>
  </si>
  <si>
    <t xml:space="preserve">Rock</t>
  </si>
  <si>
    <t xml:space="preserve">Gravel</t>
  </si>
  <si>
    <t xml:space="preserve">Clay</t>
  </si>
  <si>
    <t xml:space="preserve">2 - 3</t>
  </si>
  <si>
    <t xml:space="preserve">60 - 180</t>
  </si>
  <si>
    <t xml:space="preserve">40 - 100</t>
  </si>
  <si>
    <t xml:space="preserve">6 - 8</t>
  </si>
  <si>
    <t xml:space="preserve">200 - 500</t>
  </si>
  <si>
    <t xml:space="preserve">100 - 400</t>
  </si>
  <si>
    <t xml:space="preserve">100 - 350</t>
  </si>
  <si>
    <t xml:space="preserve">70 - 200</t>
  </si>
  <si>
    <t xml:space="preserve">9 - 12</t>
  </si>
  <si>
    <t xml:space="preserve">400 - 900</t>
  </si>
  <si>
    <t xml:space="preserve">200 - 700</t>
  </si>
  <si>
    <t xml:space="preserve">200 - 600</t>
  </si>
  <si>
    <t xml:space="preserve">100 - 300</t>
  </si>
  <si>
    <t xml:space="preserve">13 - 16</t>
  </si>
  <si>
    <t xml:space="preserve">500 - 1400</t>
  </si>
  <si>
    <t xml:space="preserve">350 - 1000</t>
  </si>
  <si>
    <t xml:space="preserve">300 - 800</t>
  </si>
  <si>
    <t xml:space="preserve">150 - 400</t>
  </si>
  <si>
    <t xml:space="preserve">19 - 25</t>
  </si>
  <si>
    <t xml:space="preserve">900 - 2200</t>
  </si>
  <si>
    <t xml:space="preserve">500 - 1600</t>
  </si>
  <si>
    <t xml:space="preserve">500 - 1200</t>
  </si>
  <si>
    <t xml:space="preserve">Compacted layer height (m)</t>
  </si>
  <si>
    <t xml:space="preserve">0.20 - 0.35</t>
  </si>
  <si>
    <t xml:space="preserve">0.20 - 0.30</t>
  </si>
  <si>
    <t xml:space="preserve">0.15 - 0.20</t>
  </si>
  <si>
    <t xml:space="preserve">0.30 - 0.50</t>
  </si>
  <si>
    <t xml:space="preserve">0.30 - 0.40</t>
  </si>
  <si>
    <t xml:space="preserve">0.25 - 0.35</t>
  </si>
  <si>
    <t xml:space="preserve">0.50 - 0.80</t>
  </si>
  <si>
    <t xml:space="preserve">0.40 - 0.60</t>
  </si>
  <si>
    <t xml:space="preserve">0.80 - 1.20</t>
  </si>
  <si>
    <t xml:space="preserve">1.00 - 2.00</t>
  </si>
  <si>
    <t xml:space="preserve">0.80 - 1.50</t>
  </si>
  <si>
    <t xml:space="preserve">0.60 - 1.00</t>
  </si>
  <si>
    <t xml:space="preserve">Reference performance (m³/h)</t>
  </si>
  <si>
    <t xml:space="preserve">1.5 - 2.5</t>
  </si>
  <si>
    <t xml:space="preserve">30 - 80</t>
  </si>
  <si>
    <t xml:space="preserve">50 - 150</t>
  </si>
  <si>
    <t xml:space="preserve">50 - 120</t>
  </si>
  <si>
    <t xml:space="preserve">30 - 70</t>
  </si>
  <si>
    <t xml:space="preserve">3.0 - 4.5</t>
  </si>
  <si>
    <t xml:space="preserve">60 - 150</t>
  </si>
  <si>
    <t xml:space="preserve">40 - 90</t>
  </si>
  <si>
    <t xml:space="preserve">7 - 9</t>
  </si>
  <si>
    <t xml:space="preserve">80 - 200</t>
  </si>
  <si>
    <t xml:space="preserve">120 - 350</t>
  </si>
  <si>
    <t xml:space="preserve">100 - 250</t>
  </si>
  <si>
    <t xml:space="preserve">80 - 150</t>
  </si>
  <si>
    <t xml:space="preserve">10 - 12</t>
  </si>
  <si>
    <t xml:space="preserve">120 - 300</t>
  </si>
  <si>
    <t xml:space="preserve">150 - 300</t>
  </si>
  <si>
    <t xml:space="preserve">100 - 200</t>
  </si>
  <si>
    <t xml:space="preserve">6 - 7</t>
  </si>
  <si>
    <t xml:space="preserve">300 - 600</t>
  </si>
  <si>
    <t xml:space="preserve">200 - 400</t>
  </si>
  <si>
    <t xml:space="preserve">150 - 250</t>
  </si>
  <si>
    <t xml:space="preserve">Within a range the application interpolates linearly: minimum + (maximum - minimum) x (weight - minimum weight) / (maximum weight - minimum weight).</t>
  </si>
  <si>
    <t xml:space="preserve">LTR - LIGHT TANDEM ROLLER.</t>
  </si>
  <si>
    <t xml:space="preserve">Technical data and financial analysis. Amounts in USD. Performance tables on the SDR sheet.</t>
  </si>
  <si>
    <t xml:space="preserve">BOMAG | BW120 AD-5</t>
  </si>
  <si>
    <t xml:space="preserve">CATERPILLAR | CB2.7GC</t>
  </si>
  <si>
    <t xml:space="preserve">HAMM | HD12 VV</t>
  </si>
  <si>
    <t xml:space="preserve">DYNAPAC | CC1200</t>
  </si>
  <si>
    <t xml:space="preserve">AMMANN | ARX 26</t>
  </si>
  <si>
    <t xml:space="preserve">JCB | CT260</t>
  </si>
  <si>
    <t xml:space="preserve">WACKER NEUSON | RD27</t>
  </si>
  <si>
    <t xml:space="preserve">WACKER NEUSON</t>
  </si>
  <si>
    <t xml:space="preserve">BW120 AD-5</t>
  </si>
  <si>
    <t xml:space="preserve">CB2.7GC</t>
  </si>
  <si>
    <t xml:space="preserve">HD12 VV</t>
  </si>
  <si>
    <t xml:space="preserve">CC1200</t>
  </si>
  <si>
    <t xml:space="preserve">ARX 26</t>
  </si>
  <si>
    <t xml:space="preserve">CT260</t>
  </si>
  <si>
    <t xml:space="preserve">RD27</t>
  </si>
  <si>
    <t xml:space="preserve">Kubota D1703</t>
  </si>
  <si>
    <t xml:space="preserve">CAT C1.7T</t>
  </si>
  <si>
    <t xml:space="preserve">Kubota D1503</t>
  </si>
  <si>
    <t xml:space="preserve">Kubota D1703-M</t>
  </si>
  <si>
    <t xml:space="preserve">Yanmar 3TNV88F</t>
  </si>
  <si>
    <t xml:space="preserve">Kubota D1903-M</t>
  </si>
  <si>
    <t xml:space="preserve">0.5</t>
  </si>
  <si>
    <t xml:space="preserve">0.52</t>
  </si>
  <si>
    <t xml:space="preserve">0.508</t>
  </si>
  <si>
    <t xml:space="preserve">0.6</t>
  </si>
  <si>
    <t xml:space="preserve">0.51</t>
  </si>
  <si>
    <t xml:space="preserve">Germany/China</t>
  </si>
  <si>
    <t xml:space="preserve">Czech</t>
  </si>
  <si>
    <t xml:space="preserve">Switzerland</t>
  </si>
  <si>
    <t xml:space="preserve">Compaction System</t>
  </si>
  <si>
    <t xml:space="preserve">Vibratory</t>
  </si>
  <si>
    <t xml:space="preserve">Water Tank Capacity</t>
  </si>
  <si>
    <t xml:space="preserve">Economizer - Soil stiffness sensor</t>
  </si>
  <si>
    <t xml:space="preserve">CMV (Compaction Meter Value)</t>
  </si>
  <si>
    <t xml:space="preserve">HAMM Compaction Meter: Acceleration / frequency sensor</t>
  </si>
  <si>
    <t xml:space="preserve">DCA-A Acceleration / amplitude sensor</t>
  </si>
  <si>
    <t xml:space="preserve">ACEforce: Dynamic stiffness sensor</t>
  </si>
  <si>
    <t xml:space="preserve">No applicable</t>
  </si>
  <si>
    <t xml:space="preserve">Low TCO (Service/Maintenance/Repair/Reliability)</t>
  </si>
  <si>
    <t xml:space="preserve">Low-cost operational roller, ideal for rental fleets or works where mechanical simplicity and reliability are priority.</t>
  </si>
  <si>
    <t xml:space="preserve">Maximum maneuverability with double vibratory drum and configuration option for narrow urban areas</t>
  </si>
  <si>
    <t xml:space="preserve">Compact chassis with tandem design and DCA system for traceability by zones (in superior models).</t>
  </si>
  <si>
    <t xml:space="preserve">Active compaction technology that automatically adjusts the vibration according to the soil stiffness to optimize the number of passes.</t>
  </si>
  <si>
    <t xml:space="preserve">Robust design, excellent access to maintenance and standardized components for maximum availability in the field.</t>
  </si>
  <si>
    <t xml:space="preserve">USP</t>
  </si>
  <si>
    <t xml:space="preserve">Easy and safe to operate. Economizer (Option) Includes temperature indicator</t>
  </si>
  <si>
    <t xml:space="preserve">Articulation joint</t>
  </si>
  <si>
    <t xml:space="preserve">Articulation of the wheel</t>
  </si>
  <si>
    <t xml:space="preserve">Comfort and safety</t>
  </si>
  <si>
    <t xml:space="preserve">Efficient compaction</t>
  </si>
  <si>
    <t xml:space="preserve">ACE technology</t>
  </si>
  <si>
    <t xml:space="preserve">ACE Technology</t>
  </si>
  <si>
    <t xml:space="preserve">Easy maintenance</t>
  </si>
  <si>
    <t xml:space="preserve">0 h: price 28000 / TCO 49700
1000 h: price 32900 / TCO 49700
1500 h: price 35350 / TCO 49700
2000 h: price 37800 / TCO 49700
2500 h: price 40250 / TCO 49700
3000 h: price 42700 / TCO 49700</t>
  </si>
  <si>
    <t xml:space="preserve">0 h: price 29630 / TCO 52205
1000 h: price 34930 / TCO 52205
1500 h: price 37580 / TCO 52205
2000 h: price 40230 / TCO 52205
2500 h: price 42880 / TCO 52205
3000 h: price 45530 / TCO 52205</t>
  </si>
  <si>
    <t xml:space="preserve">0 h: price 29580 / TCO 53030
1000 h: price 34880 / TCO 53030
1500 h: price 37480 / TCO 53030
2000 h: price 40080 / TCO 53030
2500 h: price 42680 / TCO 53030
3000 h: price 45280 / TCO 53030</t>
  </si>
  <si>
    <t xml:space="preserve">0 h: price 26783 / TCO 49358
1000 h: price 31783 / TCO 49358
1500 h: price 34283 / TCO 49358
2000 h: price 36783 / TCO 49358
2500 h: price 39283 / TCO 49358
3000 h: price 41783 / TCO 49358</t>
  </si>
  <si>
    <t xml:space="preserve">0 h: price 25500 / TCO 50350
1000 h: price 29500 / TCO 50350
1500 h: price 31500 / TCO 50350
2000 h: price 33500 / TCO 50350
2500 h: price 35500 / TCO 50350
3000 h: price 37500 / TCO 50350</t>
  </si>
  <si>
    <t xml:space="preserve">0 h: price 23500 / TCO 49925
1000 h: price 27500 / TCO 49925
1500 h: price 29500 / TCO 49925
2000 h: price 31500 / TCO 49925
2500 h: price 33500 / TCO 49925
3000 h: price 35500 / TCO 49925</t>
  </si>
  <si>
    <t xml:space="preserve">HTR - HEAVY TANDEM ROLLER.</t>
  </si>
  <si>
    <t xml:space="preserve">BOMAG | BW161 AD-4</t>
  </si>
  <si>
    <t xml:space="preserve">AMMANN | AV110X</t>
  </si>
  <si>
    <t xml:space="preserve">CATERPILLAR | CB10</t>
  </si>
  <si>
    <t xml:space="preserve">DYNAPAC | CC4200</t>
  </si>
  <si>
    <t xml:space="preserve">HAMM | HD90 VV</t>
  </si>
  <si>
    <t xml:space="preserve">BW161 AD-4</t>
  </si>
  <si>
    <t xml:space="preserve">AV110X</t>
  </si>
  <si>
    <t xml:space="preserve">CB10</t>
  </si>
  <si>
    <t xml:space="preserve">CC4200</t>
  </si>
  <si>
    <t xml:space="preserve">HD90 VV</t>
  </si>
  <si>
    <t xml:space="preserve">Deutz TCD L04 2V</t>
  </si>
  <si>
    <t xml:space="preserve">Cummins QSB3.3-C99</t>
  </si>
  <si>
    <t xml:space="preserve">CAT C4.4</t>
  </si>
  <si>
    <t xml:space="preserve">0,94/0,42</t>
  </si>
  <si>
    <t xml:space="preserve">0,7/0,35</t>
  </si>
  <si>
    <t xml:space="preserve">0,84/0,18</t>
  </si>
  <si>
    <t xml:space="preserve">0,8/0,3</t>
  </si>
  <si>
    <t xml:space="preserve">0,66/0,37</t>
  </si>
  <si>
    <t xml:space="preserve">Czech Republic</t>
  </si>
  <si>
    <t xml:space="preserve">150-200</t>
  </si>
  <si>
    <t xml:space="preserve">140-180</t>
  </si>
  <si>
    <t xml:space="preserve">160-210</t>
  </si>
  <si>
    <t xml:space="preserve">150-190</t>
  </si>
  <si>
    <t xml:space="preserve">170-220</t>
  </si>
  <si>
    <t xml:space="preserve">BOMAG ECONOMIZER
Visual system that allows operators to measure compaction progress in real time. Uses an LED scale in the cab to show the achieved compaction level, helping to avoid over- or under-compaction.</t>
  </si>
  <si>
    <t xml:space="preserve">CMV + PassCount
Uses acceleration sensors on the vibratory drum to measure the response of the soil/asphalt to the roller vibrations. Provides a relative reading of compaction quality.</t>
  </si>
  <si>
    <t xml:space="preserve">HCM (HAMM Compaction)
Is based on sensors that evaluate the rigidity of the compacted material in real time, using dynamic data from the vibratory drum. Dimensional values</t>
  </si>
  <si>
    <t xml:space="preserve">BOMAG ASPHALT MANAGER</t>
  </si>
  <si>
    <t xml:space="preserve">BOMAG ASPHALT MANAGER
No other system is as flexible as AM: with variable output amplitude, it can be powerful or sensitive. The right force level is applied in the right direction for any application: Vibration drum adapts up to oscillation. Evib measurement in MN/m2.</t>
  </si>
  <si>
    <t xml:space="preserve">Telematic, BOMAP</t>
  </si>
  <si>
    <t xml:space="preserve">Dyn@Link</t>
  </si>
  <si>
    <t xml:space="preserve">No</t>
  </si>
  <si>
    <t xml:space="preserve">John Deere Operations Center</t>
  </si>
  <si>
    <t xml:space="preserve">TANGO, ASPHALT MANAGER, ECONOMIZER ECOMODE, TELEMATIC</t>
  </si>
  <si>
    <t xml:space="preserve">Oscillation joint, on-board diagnosis</t>
  </si>
  <si>
    <t xml:space="preserve">Versa Vibe™, 360° vision, Oscillation</t>
  </si>
  <si>
    <t xml:space="preserve">Oscillation, sliding cabin</t>
  </si>
  <si>
    <t xml:space="preserve">VIO, HAMMTRONIC, Easy Drive</t>
  </si>
  <si>
    <t xml:space="preserve">Vibration systems / Notes</t>
  </si>
  <si>
    <t xml:space="preserve">3 vibration systems
Only BOMAG tandem rollers offer you three vibration systems. With double vibration, TanGO, and ASPHALT MANAGER, you have three technologies to choose from.</t>
  </si>
  <si>
    <t xml:space="preserve">High visibility, powerful and comfortable compaction</t>
  </si>
  <si>
    <t xml:space="preserve">VersaVibe™ technology
Allows tandem compactors to work with four different vibration configurations, adapting to different asphalt conditions and compaction objectives.</t>
  </si>
  <si>
    <t xml:space="preserve">High centrifugal force and amplitude, large water tank</t>
  </si>
  <si>
    <t xml:space="preserve">VIO , technology that allows a single drum to work with both vertical and horizontal vibration, depending on the material or environment conditions.</t>
  </si>
  <si>
    <t xml:space="preserve">The adjustable articulation oscillates to ensure constant contact between the drums and the surface</t>
  </si>
  <si>
    <t xml:space="preserve">0 h: price 28000 / TCO 28000
1000 h: price - / TCO 35000
2000 h: price - / TCO 42000</t>
  </si>
  <si>
    <t xml:space="preserve">COLD PLANERS.</t>
  </si>
  <si>
    <t xml:space="preserve">Cold milling machines for road rehabilitation and surface removal. Amounts in USD.</t>
  </si>
  <si>
    <t xml:space="preserve">Volume to mill (m³)</t>
  </si>
  <si>
    <t xml:space="preserve">BMS15L wear reduction</t>
  </si>
  <si>
    <t xml:space="preserve">BOMAG | BM 1000/20</t>
  </si>
  <si>
    <t xml:space="preserve">SANY | SCM1000C-8</t>
  </si>
  <si>
    <t xml:space="preserve">XCMG | XM1005H</t>
  </si>
  <si>
    <t xml:space="preserve">BM 1000/20</t>
  </si>
  <si>
    <t xml:space="preserve">SCM1000C-8</t>
  </si>
  <si>
    <t xml:space="preserve">XM1005H</t>
  </si>
  <si>
    <t xml:space="preserve">Milling width</t>
  </si>
  <si>
    <t xml:space="preserve">1.000 mm</t>
  </si>
  <si>
    <t xml:space="preserve">Maximum depth</t>
  </si>
  <si>
    <t xml:space="preserve">210 mm</t>
  </si>
  <si>
    <t xml:space="preserve">280 mm</t>
  </si>
  <si>
    <t xml:space="preserve">220 mm</t>
  </si>
  <si>
    <t xml:space="preserve">Engine power</t>
  </si>
  <si>
    <t xml:space="preserve">164 kW - Cummins QSB 6.7</t>
  </si>
  <si>
    <t xml:space="preserve">180 kW - SAN engine</t>
  </si>
  <si>
    <t xml:space="preserve">164 kW - Cummins QSB6.7</t>
  </si>
  <si>
    <t xml:space="preserve">Drum diameter</t>
  </si>
  <si>
    <t xml:space="preserve">860 mm</t>
  </si>
  <si>
    <t xml:space="preserve">930 mm</t>
  </si>
  <si>
    <t xml:space="preserve">Working speed</t>
  </si>
  <si>
    <t xml:space="preserve">0-40 m/min</t>
  </si>
  <si>
    <t xml:space="preserve">35 m/min</t>
  </si>
  <si>
    <t xml:space="preserve">50 m/min</t>
  </si>
  <si>
    <t xml:space="preserve">Travel speed</t>
  </si>
  <si>
    <t xml:space="preserve">8 km/h</t>
  </si>
  <si>
    <t xml:space="preserve">8,5 km/h</t>
  </si>
  <si>
    <t xml:space="preserve">Transport capacity</t>
  </si>
  <si>
    <t xml:space="preserve">92 m³/h</t>
  </si>
  <si>
    <t xml:space="preserve">84 m³/h</t>
  </si>
  <si>
    <t xml:space="preserve">Conveyor belt width</t>
  </si>
  <si>
    <t xml:space="preserve">400 mm</t>
  </si>
  <si>
    <t xml:space="preserve">500 mm</t>
  </si>
  <si>
    <t xml:space="preserve">Water tank</t>
  </si>
  <si>
    <t xml:space="preserve">700 L</t>
  </si>
  <si>
    <t xml:space="preserve">800 L</t>
  </si>
  <si>
    <t xml:space="preserve">850 L</t>
  </si>
  <si>
    <t xml:space="preserve">Operating weight</t>
  </si>
  <si>
    <t xml:space="preserve">11.800-13.600 kg</t>
  </si>
  <si>
    <t xml:space="preserve">15,750 kg (heavier)</t>
  </si>
  <si>
    <t xml:space="preserve">13.900-14.100 kg</t>
  </si>
  <si>
    <t xml:space="preserve">Minimum turning radius</t>
  </si>
  <si>
    <t xml:space="preserve">0,38 m</t>
  </si>
  <si>
    <t xml:space="preserve">1,2 m</t>
  </si>
  <si>
    <t xml:space="preserve">No declarado</t>
  </si>
  <si>
    <t xml:space="preserve">Cutting system</t>
  </si>
  <si>
    <t xml:space="preserve">BMS15L with quick-change tool holder (1 bolt). Less wear and higher energy efficiency.</t>
  </si>
  <si>
    <t xml:space="preserve">Larger diameter drum oriented to deep milling work.</t>
  </si>
  <si>
    <t xml:space="preserve">Standard configuration with reliable Cummins engine.</t>
  </si>
  <si>
    <t xml:space="preserve">Energy efficiency</t>
  </si>
  <si>
    <t xml:space="preserve">Optimized design that reduces wear by up to 20% and improves consumption.</t>
  </si>
  <si>
    <t xml:space="preserve">Higher power implies higher energy demand.</t>
  </si>
  <si>
    <t xml:space="preserve">Competitive consumption within the segment.</t>
  </si>
  <si>
    <t xml:space="preserve">Ideal application</t>
  </si>
  <si>
    <t xml:space="preserve">Urban works, road maintenance, precision work and high operational turnover.</t>
  </si>
  <si>
    <t xml:space="preserve">Structural projects, great depths and high productive load.</t>
  </si>
  <si>
    <t xml:space="preserve">Companies seeking cost-benefit balance.</t>
  </si>
  <si>
    <t xml:space="preserve">Value proposition</t>
  </si>
  <si>
    <t xml:space="preserve">Specialist in efficiency, versatility and better TCO.</t>
  </si>
  <si>
    <t xml:space="preserve">Specialist in power and deep milling.</t>
  </si>
  <si>
    <t xml:space="preserve">Competitive alternative balanced in price and performance.</t>
  </si>
  <si>
    <t xml:space="preserve">USP 1 - Productivity</t>
  </si>
  <si>
    <t xml:space="preserve">High power-performance efficiency. Greater transport capacity.</t>
  </si>
  <si>
    <t xml:space="preserve">Higher power and depth for heavy structural milling.</t>
  </si>
  <si>
    <t xml:space="preserve">Good overall performance with high operating speed.</t>
  </si>
  <si>
    <t xml:space="preserve">USP 2 - Maneuverability</t>
  </si>
  <si>
    <t xml:space="preserve">Better turning radius. Ideal for urban environments and tight spaces.</t>
  </si>
  <si>
    <t xml:space="preserve">Greater stability, less agility.</t>
  </si>
  <si>
    <t xml:space="preserve">Intermediate maneuverability.</t>
  </si>
  <si>
    <t xml:space="preserve">USP 3 - Operating Cost (TCO)</t>
  </si>
  <si>
    <t xml:space="preserve">Up to 20% less wear. Quick tool change. Better total cost of ownership.</t>
  </si>
  <si>
    <t xml:space="preserve">High power may increase consumption and wear.</t>
  </si>
  <si>
    <t xml:space="preserve">Cummins engine facilitates support and spare parts.</t>
  </si>
  <si>
    <t xml:space="preserve">Ergonomic panel. Better protection against dust and vibration. Ideal for long shifts.</t>
  </si>
  <si>
    <t xml:space="preserve">Spacious and robust cab.</t>
  </si>
  <si>
    <t xml:space="preserve">Standard functional design.</t>
  </si>
  <si>
    <t xml:space="preserve">Base preventive maintenance (USD/h)</t>
  </si>
  <si>
    <t xml:space="preserve">Base corrective maintenance (USD/h)</t>
  </si>
  <si>
    <t xml:space="preserve">Base tool wear (USD/h)</t>
  </si>
  <si>
    <t xml:space="preserve">Has BMS15L toolholder</t>
  </si>
  <si>
    <t xml:space="preserve">BMS15L active in the analysis</t>
  </si>
  <si>
    <t xml:space="preserve">Machine wear reduction (%)</t>
  </si>
  <si>
    <t xml:space="preserve">%</t>
  </si>
  <si>
    <t xml:space="preserve">PRODUCTIVITY</t>
  </si>
  <si>
    <t xml:space="preserve">Conveying capacity (m³/h)</t>
  </si>
  <si>
    <t xml:space="preserve">Maximum working speed (m/min)</t>
  </si>
  <si>
    <t xml:space="preserve">m/min</t>
  </si>
  <si>
    <t xml:space="preserve">Minimum turning radius (m)</t>
  </si>
  <si>
    <t xml:space="preserve">m</t>
  </si>
  <si>
    <t xml:space="preserve">Not declared</t>
  </si>
  <si>
    <t xml:space="preserve">BMS15L EFFECT</t>
  </si>
  <si>
    <t xml:space="preserve">Wear multiplier</t>
  </si>
  <si>
    <t xml:space="preserve">x</t>
  </si>
  <si>
    <t xml:space="preserve">Effective preventive maintenance (USD/h)</t>
  </si>
  <si>
    <t xml:space="preserve">Effective corrective maintenance (USD/h)</t>
  </si>
  <si>
    <t xml:space="preserve">Effective tool wear (USD/h)</t>
  </si>
  <si>
    <t xml:space="preserve">Tool wear cost (USD)</t>
  </si>
  <si>
    <t xml:space="preserve">BOMAG BM 1000/20 PREVENTIVE MAINTENANCE</t>
  </si>
  <si>
    <t xml:space="preserve">Service</t>
  </si>
  <si>
    <t xml:space="preserve">Interval</t>
  </si>
  <si>
    <t xml:space="preserve">Description</t>
  </si>
  <si>
    <t xml:space="preserve">SAP code</t>
  </si>
  <si>
    <t xml:space="preserve">Quantity</t>
  </si>
  <si>
    <t xml:space="preserve">Quantity (no.)</t>
  </si>
  <si>
    <t xml:space="preserve">List price (USD)</t>
  </si>
  <si>
    <t xml:space="preserve">Cost per service (USD)</t>
  </si>
  <si>
    <t xml:space="preserve">Interval (h)</t>
  </si>
  <si>
    <t xml:space="preserve">Services in the period</t>
  </si>
  <si>
    <t xml:space="preserve">Cost in the period (USD)</t>
  </si>
  <si>
    <t xml:space="preserve">Every 250 service hours</t>
  </si>
  <si>
    <t xml:space="preserve">250 H</t>
  </si>
  <si>
    <t xml:space="preserve">Change engine oil</t>
  </si>
  <si>
    <t xml:space="preserve">Engine oil</t>
  </si>
  <si>
    <t xml:space="preserve">54011173</t>
  </si>
  <si>
    <t xml:space="preserve">16</t>
  </si>
  <si>
    <t xml:space="preserve">l</t>
  </si>
  <si>
    <t xml:space="preserve">Replace oil filter</t>
  </si>
  <si>
    <t xml:space="preserve">Oil filter</t>
  </si>
  <si>
    <t xml:space="preserve">31782392</t>
  </si>
  <si>
    <t xml:space="preserve">1</t>
  </si>
  <si>
    <t xml:space="preserve">PC</t>
  </si>
  <si>
    <t xml:space="preserve">Every 500 service hours</t>
  </si>
  <si>
    <t xml:space="preserve">500 H</t>
  </si>
  <si>
    <t xml:space="preserve">Change transmission oil (wheel reducers) ISO VG 220</t>
  </si>
  <si>
    <t xml:space="preserve">Gear oil ISO VG 220</t>
  </si>
  <si>
    <t xml:space="preserve">86821150</t>
  </si>
  <si>
    <t xml:space="preserve">4 x 0,9</t>
  </si>
  <si>
    <t xml:space="preserve">Change milling gear oil (ISO VG 220)</t>
  </si>
  <si>
    <t xml:space="preserve">Replace fuel filter, purge air from fuel system</t>
  </si>
  <si>
    <t xml:space="preserve">Fuel filter</t>
  </si>
  <si>
    <t xml:space="preserve">31782401</t>
  </si>
  <si>
    <t xml:space="preserve">Every 1000 service hours</t>
  </si>
  <si>
    <t xml:space="preserve">1000 H</t>
  </si>
  <si>
    <t xml:space="preserve">Replace air filter element (if necessary)</t>
  </si>
  <si>
    <t xml:space="preserve">Air filter element</t>
  </si>
  <si>
    <t xml:space="preserve">31800152</t>
  </si>
  <si>
    <t xml:space="preserve">Replace safety cartridge (if necessary)</t>
  </si>
  <si>
    <t xml:space="preserve">Safety cartridge</t>
  </si>
  <si>
    <t xml:space="preserve">31782399</t>
  </si>
  <si>
    <t xml:space="preserve">Every 1500 service hours</t>
  </si>
  <si>
    <t xml:space="preserve">1500 H</t>
  </si>
  <si>
    <t xml:space="preserve">Replace ribbed V-belt</t>
  </si>
  <si>
    <t xml:space="preserve">V-belt</t>
  </si>
  <si>
    <t xml:space="preserve">54011201</t>
  </si>
  <si>
    <t xml:space="preserve">Every 2000 service hours</t>
  </si>
  <si>
    <t xml:space="preserve">2000 H</t>
  </si>
  <si>
    <t xml:space="preserve">Replace coolant</t>
  </si>
  <si>
    <t xml:space="preserve">Coolant</t>
  </si>
  <si>
    <t xml:space="preserve">86821152</t>
  </si>
  <si>
    <t xml:space="preserve">24</t>
  </si>
  <si>
    <t xml:space="preserve">Every 4500 service hours</t>
  </si>
  <si>
    <t xml:space="preserve">4500 H</t>
  </si>
  <si>
    <t xml:space="preserve">Replace hydraulic oil</t>
  </si>
  <si>
    <t xml:space="preserve">Hydraulic oil (ISO), HVLP 46</t>
  </si>
  <si>
    <t xml:space="preserve">86821151</t>
  </si>
  <si>
    <t xml:space="preserve">120</t>
  </si>
  <si>
    <t xml:space="preserve">Total preventive maintenance for the period</t>
  </si>
  <si>
    <t xml:space="preserve">Preventive cost per hour (USD/h)</t>
  </si>
  <si>
    <t xml:space="preserve">PAVERS.</t>
  </si>
  <si>
    <t xml:space="preserve">Asphalt pavers for road construction and spreading of granular layers. Amounts in USD.</t>
  </si>
  <si>
    <t xml:space="preserve">Hours per shift</t>
  </si>
  <si>
    <t xml:space="preserve">ECOMODE saving</t>
  </si>
  <si>
    <t xml:space="preserve">Factor EcoPlus</t>
  </si>
  <si>
    <t xml:space="preserve">Factor VarioSpeed</t>
  </si>
  <si>
    <t xml:space="preserve">Factor Eco-mode</t>
  </si>
  <si>
    <t xml:space="preserve">Heating without MAGMALIFE (L/shift)</t>
  </si>
  <si>
    <t xml:space="preserve">Heating with MAGMALIFE (L/shift)</t>
  </si>
  <si>
    <t xml:space="preserve">Screed replacements without MAGMALIFE, 3 years (EUR)</t>
  </si>
  <si>
    <t xml:space="preserve">Hours per year (screed)</t>
  </si>
  <si>
    <t xml:space="preserve">Heating without MAGMALIFE (min)</t>
  </si>
  <si>
    <t xml:space="preserve">BOMAG | BF600 C-3</t>
  </si>
  <si>
    <t xml:space="preserve">CATERPILLAR | AP655</t>
  </si>
  <si>
    <t xml:space="preserve">VÖGELE | Super 1800-3</t>
  </si>
  <si>
    <t xml:space="preserve">DYNAPAC | SD2500CS</t>
  </si>
  <si>
    <t xml:space="preserve">VÖGELE</t>
  </si>
  <si>
    <t xml:space="preserve">AP655</t>
  </si>
  <si>
    <t xml:space="preserve">BF600 C-3</t>
  </si>
  <si>
    <t xml:space="preserve">Super 1800-3</t>
  </si>
  <si>
    <t xml:space="preserve">SD2500CS</t>
  </si>
  <si>
    <t xml:space="preserve">ENGINE AND POWER</t>
  </si>
  <si>
    <t xml:space="preserve">Engine / manufacturer</t>
  </si>
  <si>
    <t xml:space="preserve">Cat C4.4 (4 cil.) / opt C7.1 (6 cil.)</t>
  </si>
  <si>
    <t xml:space="preserve">Deutz TCD 2012 L06 (6 cil.)</t>
  </si>
  <si>
    <t xml:space="preserve">Cummins QSB6.7-C170 (6 cil.)</t>
  </si>
  <si>
    <t xml:space="preserve">Cummins QSB 6.7-C200 (6 cil.)</t>
  </si>
  <si>
    <t xml:space="preserve">Rated power (kW / hp)</t>
  </si>
  <si>
    <t xml:space="preserve">129 kW / 173 hp</t>
  </si>
  <si>
    <t xml:space="preserve">116 kW / 156 hp</t>
  </si>
  <si>
    <t xml:space="preserve">127 kW / 170 hp</t>
  </si>
  <si>
    <t xml:space="preserve">149 kW / 200 hp</t>
  </si>
  <si>
    <t xml:space="preserve">Emission standard</t>
  </si>
  <si>
    <t xml:space="preserve">EPA Tier 4 Final / EU Stage V</t>
  </si>
  <si>
    <t xml:space="preserve">Stage IIIa / Tier 3</t>
  </si>
  <si>
    <t xml:space="preserve">EU Fase 3a / EPA Tier 3</t>
  </si>
  <si>
    <t xml:space="preserve">EU Stage V / EPA Tier 4f</t>
  </si>
  <si>
    <t xml:space="preserve">Fuel-saving mode</t>
  </si>
  <si>
    <t xml:space="preserve">Eco-mode + auto rpm control</t>
  </si>
  <si>
    <t xml:space="preserve">ECOMODE</t>
  </si>
  <si>
    <t xml:space="preserve">EcoPlus</t>
  </si>
  <si>
    <t xml:space="preserve">VarioSpeed</t>
  </si>
  <si>
    <t xml:space="preserve">Fuel tank (L)</t>
  </si>
  <si>
    <t xml:space="preserve">278 L</t>
  </si>
  <si>
    <t xml:space="preserve">285 L</t>
  </si>
  <si>
    <t xml:space="preserve">300 L</t>
  </si>
  <si>
    <t xml:space="preserve">362 L</t>
  </si>
  <si>
    <t xml:space="preserve">PERFORMANCE AND CAPACITY</t>
  </si>
  <si>
    <t xml:space="preserve">Maximum output (t/h)</t>
  </si>
  <si>
    <t xml:space="preserve">1.300 t/h</t>
  </si>
  <si>
    <t xml:space="preserve">600 t/h</t>
  </si>
  <si>
    <t xml:space="preserve">700 t/h</t>
  </si>
  <si>
    <t xml:space="preserve">800 t/h</t>
  </si>
  <si>
    <t xml:space="preserve">Paving speed (m/min)</t>
  </si>
  <si>
    <t xml:space="preserve">Up to 25 m/min</t>
  </si>
  <si>
    <t xml:space="preserve">Up to 24 m/min</t>
  </si>
  <si>
    <t xml:space="preserve">Up to 28 m/min</t>
  </si>
  <si>
    <t xml:space="preserve">Travel speed (km/h)</t>
  </si>
  <si>
    <t xml:space="preserve">14,5 km/h</t>
  </si>
  <si>
    <t xml:space="preserve">4 km/h</t>
  </si>
  <si>
    <t xml:space="preserve">4,5 km/h</t>
  </si>
  <si>
    <t xml:space="preserve">Maximum layer thickness (mm)</t>
  </si>
  <si>
    <t xml:space="preserve">305 mm</t>
  </si>
  <si>
    <t xml:space="preserve">300 mm</t>
  </si>
  <si>
    <t xml:space="preserve">310 mm</t>
  </si>
  <si>
    <t xml:space="preserve">PAVING WIDTH</t>
  </si>
  <si>
    <t xml:space="preserve">Minimum working width (m)</t>
  </si>
  <si>
    <t xml:space="preserve">2,44 m (SE47)</t>
  </si>
  <si>
    <t xml:space="preserve">1,65 m (with reductions) (S500)</t>
  </si>
  <si>
    <t xml:space="preserve">2,55 m (AB500)</t>
  </si>
  <si>
    <t xml:space="preserve">2,05 m (with extensions)</t>
  </si>
  <si>
    <t xml:space="preserve">Base width, retracted (m)</t>
  </si>
  <si>
    <t xml:space="preserve">2,55 m (SE50) / 3,0 m (SE60)</t>
  </si>
  <si>
    <t xml:space="preserve">2,5 m (S500) / 3,0 m (S600)</t>
  </si>
  <si>
    <t xml:space="preserve">2,55 m (AB500) / 3,0 m (AB600/SB300)</t>
  </si>
  <si>
    <t xml:space="preserve">2,55 m (V5100) / 3,0 m (V6000/R300)</t>
  </si>
  <si>
    <t xml:space="preserve">Extended base width (m)</t>
  </si>
  <si>
    <t xml:space="preserve">5,0 m (SE50) / 6,0 m (SE60)</t>
  </si>
  <si>
    <t xml:space="preserve">5,0 m (S500) / 6,0 m (S600)</t>
  </si>
  <si>
    <t xml:space="preserve">5,0 m (AB500) / 6,0 m (AB600)</t>
  </si>
  <si>
    <t xml:space="preserve">5,1 m (V5100) / 6,0 m (V6000)</t>
  </si>
  <si>
    <t xml:space="preserve">Maximum width with extensions (m)</t>
  </si>
  <si>
    <t xml:space="preserve">8,0 m (SE50VT)
10,0 m (SE60VT XW)</t>
  </si>
  <si>
    <t xml:space="preserve">8,0 m (S500) / 9,0 m (S600)
[Quick Coupling]</t>
  </si>
  <si>
    <t xml:space="preserve">8,5 m (AB500) / 9,0 m (AB600)
10,0 m (SB300)</t>
  </si>
  <si>
    <t xml:space="preserve">8,8 m (V5100) / 9,7 m (V6000)
10,0 m (R300)</t>
  </si>
  <si>
    <t xml:space="preserve">HOPPER AND MATERIAL FEED</t>
  </si>
  <si>
    <t xml:space="preserve">Hopper capacity (t)</t>
  </si>
  <si>
    <t xml:space="preserve">11-12 t</t>
  </si>
  <si>
    <t xml:space="preserve">11 t</t>
  </si>
  <si>
    <t xml:space="preserve">13 t</t>
  </si>
  <si>
    <t xml:space="preserve">12-15 t</t>
  </si>
  <si>
    <t xml:space="preserve">Auger diameter (mm)</t>
  </si>
  <si>
    <t xml:space="preserve">406 mm (16")</t>
  </si>
  <si>
    <t xml:space="preserve">350 mm - 100 rpm</t>
  </si>
  <si>
    <t xml:space="preserve">400 mm - up to 84 rpm</t>
  </si>
  <si>
    <t xml:space="preserve">380 mm</t>
  </si>
  <si>
    <t xml:space="preserve">Conveyor belts</t>
  </si>
  <si>
    <t xml:space="preserve">2 belts - 4-pump system</t>
  </si>
  <si>
    <t xml:space="preserve">2 - reversible, indep. ctrl.
64 rpm</t>
  </si>
  <si>
    <t xml:space="preserve">2 - up to 33 m/min variable
reversible</t>
  </si>
  <si>
    <t xml:space="preserve">2 dual - 2×655 mm
proportional control</t>
  </si>
  <si>
    <t xml:space="preserve">Push rollers</t>
  </si>
  <si>
    <t xml:space="preserve">Adjustable (standard)</t>
  </si>
  <si>
    <t xml:space="preserve">Damped + hydraulic support</t>
  </si>
  <si>
    <t xml:space="preserve">Oscillating standard
PaveDock elastic (optional)</t>
  </si>
  <si>
    <t xml:space="preserve">Fixed pivoting (std.)
Hydraulic damped (opt.)</t>
  </si>
  <si>
    <t xml:space="preserve">SCREED</t>
  </si>
  <si>
    <t xml:space="preserve">Available screed types</t>
  </si>
  <si>
    <t xml:space="preserve">SE47FM / SE50 V,VT
SE60 FM,V,VT,VT XW</t>
  </si>
  <si>
    <t xml:space="preserve">S500 / S600
(tamper + vibration)</t>
  </si>
  <si>
    <t xml:space="preserve">AB500/AB600 TV,TP1,TP2,TP2+
SB300 TV,TP1,TP2</t>
  </si>
  <si>
    <t xml:space="preserve">V5100/V6000 TV,TVE,THE
R300 TV,TVE / R300 HEE</t>
  </si>
  <si>
    <t xml:space="preserve">Screed heating</t>
  </si>
  <si>
    <t xml:space="preserve">Electric - 70 kW generator
~15 min heating</t>
  </si>
  <si>
    <t xml:space="preserve">MAGMALIFE - aluminum blocks
50% faster · 3,000-5,000 h life</t>
  </si>
  <si>
    <t xml:space="preserve">Electric - direct generator
oil-cooled</t>
  </si>
  <si>
    <t xml:space="preserve">Electric or gas (single option)
33 kVA generator</t>
  </si>
  <si>
    <t xml:space="preserve">Tamper / vibration frequency (Hz)</t>
  </si>
  <si>
    <t xml:space="preserve">Variable (touch adjustment)</t>
  </si>
  <si>
    <t xml:space="preserve">Tamper 0-29 Hz / Vibr. 20-58 Hz</t>
  </si>
  <si>
    <t xml:space="preserve">Variable (SmartWheel)</t>
  </si>
  <si>
    <t xml:space="preserve">Variable - high compaction
THE screed available</t>
  </si>
  <si>
    <t xml:space="preserve">Quick extension system</t>
  </si>
  <si>
    <t xml:space="preserve">Manual / hydraulic (optional)</t>
  </si>
  <si>
    <t xml:space="preserve">QUICK COUPLING - no bolts
(BOMAG EXCLUSIVE)</t>
  </si>
  <si>
    <t xml:space="preserve">Mechanical + hydraulic sections (SB300)</t>
  </si>
  <si>
    <t xml:space="preserve">Modular V/R-Series</t>
  </si>
  <si>
    <t xml:space="preserve">Smoothing plate depth (mm)</t>
  </si>
  <si>
    <t xml:space="preserve">Not specified</t>
  </si>
  <si>
    <t xml:space="preserve">400 mm - Thickness 15 mm</t>
  </si>
  <si>
    <t xml:space="preserve">DIMENSIONS AND WEIGHTS</t>
  </si>
  <si>
    <t xml:space="preserve">Operating weight (kg)</t>
  </si>
  <si>
    <t xml:space="preserve">19.530 kg (c/SE50VT)
21.052 kg (c/SE60VT XW)</t>
  </si>
  <si>
    <t xml:space="preserve">21.000 kg (c/S500)
21.500 kg (c/S600)</t>
  </si>
  <si>
    <t xml:space="preserve">19,400 kg (AB500 up to 5m)
25,150 kg (AB500 up to 8.5m)</t>
  </si>
  <si>
    <t xml:space="preserve">19,000 kg (with std. screed)</t>
  </si>
  <si>
    <t xml:space="preserve">Transport length (mm)</t>
  </si>
  <si>
    <t xml:space="preserve">6.666 mm (c/SE50VT)</t>
  </si>
  <si>
    <t xml:space="preserve">6.360 mm</t>
  </si>
  <si>
    <t xml:space="preserve">6.040 mm (AB500 TV)</t>
  </si>
  <si>
    <t xml:space="preserve">6.150 mm</t>
  </si>
  <si>
    <t xml:space="preserve">Transport width (mm)</t>
  </si>
  <si>
    <t xml:space="preserve">2.550-2.762 mm</t>
  </si>
  <si>
    <t xml:space="preserve">2.550 mm (S500) / 3.000 mm (S600)</t>
  </si>
  <si>
    <t xml:space="preserve">2.550 mm</t>
  </si>
  <si>
    <t xml:space="preserve">Transport height (mm)</t>
  </si>
  <si>
    <t xml:space="preserve">3.056 mm</t>
  </si>
  <si>
    <t xml:space="preserve">3.061 mm</t>
  </si>
  <si>
    <t xml:space="preserve">3.100 mm</t>
  </si>
  <si>
    <t xml:space="preserve">TECHNOLOGY AND CONTROL</t>
  </si>
  <si>
    <t xml:space="preserve">Operation system</t>
  </si>
  <si>
    <t xml:space="preserve">Dual touchscreens
Pave Start Assistant</t>
  </si>
  <si>
    <t xml:space="preserve">A-PAVE graphic display
SIDEVIEW rotating/sliding seat</t>
  </si>
  <si>
    <t xml:space="preserve">ErgoPlus 3 - gran pantalla color
AutoSet Plus</t>
  </si>
  <si>
    <t xml:space="preserve">PaveManager 2.0 - digital
SetAssist / TruckAssist</t>
  </si>
  <si>
    <t xml:space="preserve">Grade control</t>
  </si>
  <si>
    <t xml:space="preserve">Cat Grade Control (OPTIONAL)</t>
  </si>
  <si>
    <t xml:space="preserve">Integrated controller + sensor
slope (LATERAL STANDARD)</t>
  </si>
  <si>
    <t xml:space="preserve">Niveltronic Plus (integrated std.)</t>
  </si>
  <si>
    <t xml:space="preserve">MOBA integrated (standard)
3D grading (optional)</t>
  </si>
  <si>
    <t xml:space="preserve">Telematics / connectivity</t>
  </si>
  <si>
    <t xml:space="preserve">Product Link Elite
(satellite / cellular)</t>
  </si>
  <si>
    <t xml:space="preserve">BOMAG TELEMATIC
+ JOBLINK data interface</t>
  </si>
  <si>
    <t xml:space="preserve">PaveDock Assistant
(truck communication)</t>
  </si>
  <si>
    <t xml:space="preserve">Dyn@Link + MatManager
+ MatWiser (web reporting)</t>
  </si>
  <si>
    <t xml:space="preserve">Asphalt fume extraction</t>
  </si>
  <si>
    <t xml:space="preserve">Ventilation system (diversion)</t>
  </si>
  <si>
    <t xml:space="preserve">Fume extraction - standard</t>
  </si>
  <si>
    <t xml:space="preserve">NIOSH certified 94% effectiveness</t>
  </si>
  <si>
    <t xml:space="preserve">Centralized lubrication</t>
  </si>
  <si>
    <t xml:space="preserve">Remote access to key points</t>
  </si>
  <si>
    <t xml:space="preserve">Central lubrication system standard</t>
  </si>
  <si>
    <t xml:space="preserve">Automatic central lubrication</t>
  </si>
  <si>
    <t xml:space="preserve">Smart lubrication system</t>
  </si>
  <si>
    <t xml:space="preserve">USP 1 - MAGMALIFE · Screed heating</t>
  </si>
  <si>
    <t xml:space="preserve">Standard electric - ~15 min - Life 1,000-1,500 h - Annual replacement ~€8,000</t>
  </si>
  <si>
    <t xml:space="preserve">50% faster - 50% less fuel in setup - Life 3,000-5,000 h - Savings ~€16,000 over 3 years</t>
  </si>
  <si>
    <t xml:space="preserve">Electric direct generator - Annual replacement ~€8,000</t>
  </si>
  <si>
    <t xml:space="preserve">Electric or gas (no engine) - Annual replacement ~€8,000</t>
  </si>
  <si>
    <t xml:space="preserve">USP 2 - Real on-site consumption (field measurement 2019-2021)</t>
  </si>
  <si>
    <t xml:space="preserve">Not published in spec sheet</t>
  </si>
  <si>
    <t xml:space="preserve">8.9 l/h average measured
235 kg CO₂ / 10h shift</t>
  </si>
  <si>
    <t xml:space="preserve">10.5 l/h published in spec sheet
~273 kg CO₂ / estimated shift</t>
  </si>
  <si>
    <t xml:space="preserve">USP 3 - ECOMODE · Active hydraulics</t>
  </si>
  <si>
    <t xml:space="preserve">Eco-mode: engine rpm reduction</t>
  </si>
  <si>
    <t xml:space="preserve">Active hydraulic pump regulation based on real demand - Savings up to 17%</t>
  </si>
  <si>
    <t xml:space="preserve">EcoPlus: 4 mechanisms - up to 25% savings</t>
  </si>
  <si>
    <t xml:space="preserve">VarioSpeed: automatic adaptive rpm</t>
  </si>
  <si>
    <t xml:space="preserve">USP 4 - Quick Coupling · Extension change</t>
  </si>
  <si>
    <t xml:space="preserve">Manual / conventional hydraulic</t>
  </si>
  <si>
    <t xml:space="preserve">No bolts - no tools - min. coupling time - BOMAG EXCLUSIVE</t>
  </si>
  <si>
    <t xml:space="preserve">Standard mechanical + hydraulic sections (SB300)</t>
  </si>
  <si>
    <t xml:space="preserve">Modular V-Series / R-Series system</t>
  </si>
  <si>
    <t xml:space="preserve">USP 5 - SIDEVIEW · Lateral operator control</t>
  </si>
  <si>
    <t xml:space="preserve">Dual rotating station (backup)</t>
  </si>
  <si>
    <t xml:space="preserve">Seat + console slideable to the side - direct view of screed and edge - STANDARD</t>
  </si>
  <si>
    <t xml:space="preserve">Sliding platform with console</t>
  </si>
  <si>
    <t xml:space="preserve">Sliding cab 'Weather House'</t>
  </si>
  <si>
    <t xml:space="preserve">USP 6 - Push rollers · Standard damped</t>
  </si>
  <si>
    <t xml:space="preserve">Oscillating std. - PaveDock elastic (optional)</t>
  </si>
  <si>
    <t xml:space="preserve">Fixed pivoting std. - hydraulic damped (optional)</t>
  </si>
  <si>
    <t xml:space="preserve">USP 7 - Grade control · Included in base price</t>
  </si>
  <si>
    <t xml:space="preserve">Cat Grade Control = OPTIONAL (additional cost)</t>
  </si>
  <si>
    <t xml:space="preserve">Integrated controller + slope sensor STANDARD (lateral)</t>
  </si>
  <si>
    <t xml:space="preserve">Niveltronic Plus - integrated standard</t>
  </si>
  <si>
    <t xml:space="preserve">MOBA integrated standard + 3D (optional)</t>
  </si>
  <si>
    <t xml:space="preserve">USP 8 - Wear parts cost · Screed over 3 years</t>
  </si>
  <si>
    <t xml:space="preserve">~€24,000 total over 3 years
(annual replacement ~€8,000)</t>
  </si>
  <si>
    <t xml:space="preserve">~€8,000 total over 3 years
(replacement every 2-3 years)</t>
  </si>
  <si>
    <t xml:space="preserve">USP 9 - CO₂ footprint · standard 10h shift</t>
  </si>
  <si>
    <t xml:space="preserve">~366 kg CO₂ estimated (+55% vs BOMAG)</t>
  </si>
  <si>
    <t xml:space="preserve">235 kg CO₂ (90.5 L diesel)</t>
  </si>
  <si>
    <t xml:space="preserve">Not published</t>
  </si>
  <si>
    <t xml:space="preserve">~273 kg CO₂ estimated (10.5 l/h × 26 kg)</t>
  </si>
  <si>
    <t xml:space="preserve">A - FUEL CONSUMPTION IN OPERATION</t>
  </si>
  <si>
    <t xml:space="preserve">Average real consumption (L/h)</t>
  </si>
  <si>
    <t xml:space="preserve">8.9 l/h ✓ MEASURED IN FIELD</t>
  </si>
  <si>
    <t xml:space="preserve">10.5 l/h (in official spec sheet)</t>
  </si>
  <si>
    <t xml:space="preserve">Data source</t>
  </si>
  <si>
    <t xml:space="preserve">Field measurement 03/2019-04/2021</t>
  </si>
  <si>
    <t xml:space="preserve">Official spec sheet</t>
  </si>
  <si>
    <t xml:space="preserve">Consumption in 10h shift (L)</t>
  </si>
  <si>
    <t xml:space="preserve">N/A</t>
  </si>
  <si>
    <t xml:space="preserve">89</t>
  </si>
  <si>
    <t xml:space="preserve">105</t>
  </si>
  <si>
    <t xml:space="preserve">CO₂ in 10h shift (kg)</t>
  </si>
  <si>
    <t xml:space="preserve">~366 kg (+55% vs BOMAG)</t>
  </si>
  <si>
    <t xml:space="preserve">235 kg (90,5 L × 2,6)</t>
  </si>
  <si>
    <t xml:space="preserve">~273 kg estimated</t>
  </si>
  <si>
    <t xml:space="preserve">Savings vs competitor / day (L)</t>
  </si>
  <si>
    <t xml:space="preserve">51 L less than competitor
16 L less than Dynapac</t>
  </si>
  <si>
    <t xml:space="preserve">CO₂ savings / day (kg)</t>
  </si>
  <si>
    <t xml:space="preserve">131 kg less than competitor
38 kg less than Dynapac</t>
  </si>
  <si>
    <t xml:space="preserve">B - MAGMALIFE: SCREED HEATING AND WEAR PARTS</t>
  </si>
  <si>
    <t xml:space="preserve">Heating type</t>
  </si>
  <si>
    <t xml:space="preserve">Standard electric</t>
  </si>
  <si>
    <t xml:space="preserve">MAGMALIFE - cast aluminum blocks</t>
  </si>
  <si>
    <t xml:space="preserve">Electric direct generator</t>
  </si>
  <si>
    <t xml:space="preserve">Electric or gas (option)</t>
  </si>
  <si>
    <t xml:space="preserve">Approx. heating time</t>
  </si>
  <si>
    <t xml:space="preserve">~60 min</t>
  </si>
  <si>
    <t xml:space="preserve">~30 min (50% faster)</t>
  </si>
  <si>
    <t xml:space="preserve">~30-60 min (gas: no engine)</t>
  </si>
  <si>
    <t xml:space="preserve">Heating element service life</t>
  </si>
  <si>
    <t xml:space="preserve">1.000 - 1.500 h</t>
  </si>
  <si>
    <t xml:space="preserve">3.000 - 5.000 h</t>
  </si>
  <si>
    <t xml:space="preserve">Wear plate service life</t>
  </si>
  <si>
    <t xml:space="preserve">1.000 - 2.000 h</t>
  </si>
  <si>
    <t xml:space="preserve">2.000 - 3.000 h</t>
  </si>
  <si>
    <t xml:space="preserve">Replacement cycle (@1,000 h/year)</t>
  </si>
  <si>
    <t xml:space="preserve">Annual</t>
  </si>
  <si>
    <t xml:space="preserve">Every 2-3 years</t>
  </si>
  <si>
    <t xml:space="preserve">Replacement cost year 1</t>
  </si>
  <si>
    <t xml:space="preserve">~8.000 €</t>
  </si>
  <si>
    <t xml:space="preserve">/</t>
  </si>
  <si>
    <t xml:space="preserve">Replacement cost year 2</t>
  </si>
  <si>
    <t xml:space="preserve">Replacement cost year 3</t>
  </si>
  <si>
    <t xml:space="preserve">Total replacements 3 years</t>
  </si>
  <si>
    <t xml:space="preserve">~24.000 €</t>
  </si>
  <si>
    <t xml:space="preserve">~8.000 € ✓</t>
  </si>
  <si>
    <t xml:space="preserve">Savings vs BOMAG (3 years)</t>
  </si>
  <si>
    <t xml:space="preserve">16.000 €</t>
  </si>
  <si>
    <t xml:space="preserve">CO₂ in setup/heating</t>
  </si>
  <si>
    <t xml:space="preserve">27 kg (10,5 L)</t>
  </si>
  <si>
    <t xml:space="preserve">9 kg (3,5 L) ✓</t>
  </si>
  <si>
    <t xml:space="preserve">27 kg (10.5 L) - electric</t>
  </si>
  <si>
    <t xml:space="preserve">Base fuel consumption (L/h)</t>
  </si>
  <si>
    <t xml:space="preserve">Has ECOMODE</t>
  </si>
  <si>
    <t xml:space="preserve">Fuel-saving mode active in the analysis</t>
  </si>
  <si>
    <t xml:space="preserve">Has MAGMALIFE</t>
  </si>
  <si>
    <t xml:space="preserve">MAGMALIFE active in the analysis</t>
  </si>
  <si>
    <t xml:space="preserve">Data sheet heating fuel (L/shift)</t>
  </si>
  <si>
    <t xml:space="preserve">L</t>
  </si>
  <si>
    <t xml:space="preserve">Data sheet heating time (min)</t>
  </si>
  <si>
    <t xml:space="preserve">min</t>
  </si>
  <si>
    <t xml:space="preserve">Screed replacements in 3 years (EUR)</t>
  </si>
  <si>
    <t xml:space="preserve">ECOMODE AND MAGMALIFE EFFECT</t>
  </si>
  <si>
    <t xml:space="preserve">Fuel-saving mode consumption factor</t>
  </si>
  <si>
    <t xml:space="preserve">Effective consumption (L/h)</t>
  </si>
  <si>
    <t xml:space="preserve">Effective heating fuel (L/shift)</t>
  </si>
  <si>
    <t xml:space="preserve">Effective heating time (min)</t>
  </si>
  <si>
    <t xml:space="preserve">Machine screed wear (USD/h)</t>
  </si>
  <si>
    <t xml:space="preserve">Screed wear without MAGMALIFE (USD/h)</t>
  </si>
  <si>
    <t xml:space="preserve">Effective screed wear (USD/h)</t>
  </si>
  <si>
    <t xml:space="preserve">Heating fuel cost (USD)</t>
  </si>
  <si>
    <t xml:space="preserve">Screed wear cost (USD)</t>
  </si>
  <si>
    <t xml:space="preserve">BOMAG saving vs highest-TCO competitor (USD)</t>
  </si>
  <si>
    <t xml:space="preserve">COMPARISON.</t>
  </si>
  <si>
    <t xml:space="preserve">Select the family and up to four machines. Values are read from the family sheet.</t>
  </si>
  <si>
    <t xml:space="preserve">Family</t>
  </si>
  <si>
    <t xml:space="preserve">SDR</t>
  </si>
  <si>
    <t xml:space="preserve">Machine</t>
  </si>
  <si>
    <t xml:space="preserve">Brand</t>
  </si>
  <si>
    <t xml:space="preserve">Model</t>
  </si>
  <si>
    <t xml:space="preserve">Adjusted performance (m³/h)</t>
  </si>
  <si>
    <t xml:space="preserve">Difference vs machine 1 (USD)</t>
  </si>
  <si>
    <t xml:space="preserve">Positive: machine 1 is more economical. "-": the item does not apply to this family.</t>
  </si>
</sst>
</file>

<file path=xl/styles.xml><?xml version="1.0" encoding="utf-8"?>
<styleSheet xmlns="http://schemas.openxmlformats.org/spreadsheetml/2006/main">
  <numFmts count="13">
    <numFmt numFmtId="164" formatCode="General"/>
    <numFmt numFmtId="165" formatCode="&quot;$ &quot;#,##0.00;&quot;-$ &quot;#,##0.00;\-"/>
    <numFmt numFmtId="166" formatCode="#,##0;\-#,##0;\-"/>
    <numFmt numFmtId="167" formatCode="0.00"/>
    <numFmt numFmtId="168" formatCode="#,##0.00"/>
    <numFmt numFmtId="169" formatCode="0.0%;\-0.0%;\-"/>
    <numFmt numFmtId="170" formatCode="0.00&quot; x&quot;"/>
    <numFmt numFmtId="171" formatCode="#,##0.00;\-#,##0.00;\-"/>
    <numFmt numFmtId="172" formatCode="&quot;$ &quot;#,##0;&quot;-$ &quot;#,##0;\-"/>
    <numFmt numFmtId="173" formatCode="#,##0.0;\-#,##0.0;\-"/>
    <numFmt numFmtId="174" formatCode="#,##0&quot; h&quot;"/>
    <numFmt numFmtId="175" formatCode="#,##0.0"/>
    <numFmt numFmtId="176" formatCode="#,##0&quot; €&quot;;\-#,##0&quot; €&quot;;\-"/>
  </numFmts>
  <fonts count="16">
    <font>
      <sz val="10"/>
      <color rgb="FF000000"/>
      <name val="Arial"/>
      <family val="0"/>
      <charset val="1"/>
    </font>
    <font>
      <sz val="10"/>
      <name val="Arial"/>
      <family val="0"/>
    </font>
    <font>
      <sz val="10"/>
      <name val="Arial"/>
      <family val="0"/>
    </font>
    <font>
      <sz val="10"/>
      <name val="Arial"/>
      <family val="0"/>
    </font>
    <font>
      <b val="true"/>
      <sz val="18"/>
      <color rgb="FF000000"/>
      <name val="Arial"/>
      <family val="0"/>
      <charset val="1"/>
    </font>
    <font>
      <sz val="11"/>
      <color theme="1"/>
      <name val="Calibri"/>
      <family val="2"/>
      <charset val="1"/>
    </font>
    <font>
      <b val="true"/>
      <sz val="10"/>
      <color rgb="FFFFDC43"/>
      <name val="Arial"/>
      <family val="0"/>
      <charset val="1"/>
    </font>
    <font>
      <sz val="9"/>
      <color rgb="FFFFDC43"/>
      <name val="Arial"/>
      <family val="0"/>
      <charset val="1"/>
    </font>
    <font>
      <b val="true"/>
      <sz val="10"/>
      <color rgb="FF000000"/>
      <name val="Arial"/>
      <family val="0"/>
      <charset val="1"/>
    </font>
    <font>
      <sz val="10"/>
      <color rgb="FF5D686D"/>
      <name val="Arial"/>
      <family val="0"/>
      <charset val="1"/>
    </font>
    <font>
      <b val="true"/>
      <sz val="9"/>
      <color rgb="FFFFFFFF"/>
      <name val="Arial"/>
      <family val="0"/>
      <charset val="1"/>
    </font>
    <font>
      <sz val="9"/>
      <color rgb="FF5D686D"/>
      <name val="Arial"/>
      <family val="0"/>
      <charset val="1"/>
    </font>
    <font>
      <sz val="8"/>
      <color rgb="FF5D686D"/>
      <name val="Arial"/>
      <family val="0"/>
      <charset val="1"/>
    </font>
    <font>
      <b val="true"/>
      <sz val="11"/>
      <color rgb="FF000000"/>
      <name val="Arial"/>
      <family val="0"/>
      <charset val="1"/>
    </font>
    <font>
      <b val="true"/>
      <sz val="9"/>
      <color rgb="FF000000"/>
      <name val="Arial"/>
      <family val="0"/>
      <charset val="1"/>
    </font>
    <font>
      <sz val="10"/>
      <name val="Arial"/>
      <family val="2"/>
    </font>
  </fonts>
  <fills count="6">
    <fill>
      <patternFill patternType="none"/>
    </fill>
    <fill>
      <patternFill patternType="gray125"/>
    </fill>
    <fill>
      <patternFill patternType="solid">
        <fgColor rgb="FFFFDC43"/>
        <bgColor rgb="FFFFCC99"/>
      </patternFill>
    </fill>
    <fill>
      <patternFill patternType="solid">
        <fgColor rgb="FF5D686D"/>
        <bgColor rgb="FF808080"/>
      </patternFill>
    </fill>
    <fill>
      <patternFill patternType="solid">
        <fgColor rgb="FFFFEDAE"/>
        <bgColor rgb="FFFFFFCC"/>
      </patternFill>
    </fill>
    <fill>
      <patternFill patternType="solid">
        <fgColor rgb="FFBBBCBD"/>
        <bgColor rgb="FFCCCCFF"/>
      </patternFill>
    </fill>
  </fills>
  <borders count="2">
    <border diagonalUp="false" diagonalDown="false">
      <left/>
      <right/>
      <top/>
      <bottom/>
      <diagonal/>
    </border>
    <border diagonalUp="false" diagonalDown="false">
      <left style="thin">
        <color rgb="FFBBBCBD"/>
      </left>
      <right style="thin">
        <color rgb="FFBBBCBD"/>
      </right>
      <top style="thin">
        <color rgb="FFBBBCBD"/>
      </top>
      <bottom style="thin">
        <color rgb="FFBBBC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8" fontId="0"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center"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9" fontId="8" fillId="4" borderId="1" xfId="0" applyFont="true" applyBorder="true" applyAlignment="true" applyProtection="false">
      <alignment horizontal="center" vertical="center" textRotation="0" wrapText="true" indent="0" shrinkToFit="false"/>
      <protection locked="true" hidden="false"/>
    </xf>
    <xf numFmtId="166" fontId="8" fillId="4" borderId="1" xfId="0" applyFont="true" applyBorder="true" applyAlignment="true" applyProtection="false">
      <alignment horizontal="center" vertical="center" textRotation="0" wrapText="true" indent="0" shrinkToFit="false"/>
      <protection locked="true" hidden="false"/>
    </xf>
    <xf numFmtId="170" fontId="8" fillId="4"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71" fontId="8" fillId="4"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6" fontId="0" fillId="0" borderId="1" xfId="0" applyFont="true" applyBorder="true" applyAlignment="true" applyProtection="false">
      <alignment horizontal="center" vertical="top" textRotation="0" wrapText="true" indent="0" shrinkToFit="false"/>
      <protection locked="true" hidden="false"/>
    </xf>
    <xf numFmtId="172" fontId="0" fillId="4" borderId="1" xfId="0" applyFont="true" applyBorder="true" applyAlignment="true" applyProtection="false">
      <alignment horizontal="center" vertical="top" textRotation="0" wrapText="true" indent="0" shrinkToFit="false"/>
      <protection locked="true" hidden="false"/>
    </xf>
    <xf numFmtId="173" fontId="0" fillId="4" borderId="1" xfId="0" applyFont="true" applyBorder="true" applyAlignment="true" applyProtection="false">
      <alignment horizontal="center" vertical="top" textRotation="0" wrapText="true" indent="0" shrinkToFit="false"/>
      <protection locked="true" hidden="false"/>
    </xf>
    <xf numFmtId="165" fontId="0" fillId="4" borderId="1" xfId="0" applyFont="true" applyBorder="true" applyAlignment="true" applyProtection="false">
      <alignment horizontal="center" vertical="top" textRotation="0" wrapText="true" indent="0" shrinkToFit="false"/>
      <protection locked="true" hidden="false"/>
    </xf>
    <xf numFmtId="164" fontId="0" fillId="4" borderId="1" xfId="0" applyFont="true" applyBorder="true" applyAlignment="true" applyProtection="false">
      <alignment horizontal="center" vertical="top" textRotation="0" wrapText="true" indent="0" shrinkToFit="false"/>
      <protection locked="true" hidden="false"/>
    </xf>
    <xf numFmtId="166" fontId="0" fillId="4" borderId="1" xfId="0" applyFont="true" applyBorder="true" applyAlignment="true" applyProtection="false">
      <alignment horizontal="center" vertical="top" textRotation="0" wrapText="true" indent="0" shrinkToFit="false"/>
      <protection locked="true" hidden="false"/>
    </xf>
    <xf numFmtId="173" fontId="0" fillId="0" borderId="1" xfId="0" applyFont="true" applyBorder="true" applyAlignment="true" applyProtection="false">
      <alignment horizontal="center" vertical="top" textRotation="0" wrapText="true" indent="0" shrinkToFit="false"/>
      <protection locked="true" hidden="false"/>
    </xf>
    <xf numFmtId="165" fontId="0" fillId="0" borderId="1" xfId="0" applyFont="true" applyBorder="true" applyAlignment="true" applyProtection="false">
      <alignment horizontal="center" vertical="top" textRotation="0" wrapText="true" indent="0" shrinkToFit="false"/>
      <protection locked="true" hidden="false"/>
    </xf>
    <xf numFmtId="172" fontId="0" fillId="0"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72" fontId="8" fillId="2" borderId="1" xfId="0" applyFont="true" applyBorder="true" applyAlignment="true" applyProtection="false">
      <alignment horizontal="center" vertical="top" textRotation="0" wrapText="true" indent="0" shrinkToFit="false"/>
      <protection locked="true" hidden="false"/>
    </xf>
    <xf numFmtId="174" fontId="14" fillId="4" borderId="1" xfId="0" applyFont="true" applyBorder="true" applyAlignment="true" applyProtection="false">
      <alignment horizontal="center" vertical="center" textRotation="0" wrapText="true" indent="0" shrinkToFit="false"/>
      <protection locked="true" hidden="false"/>
    </xf>
    <xf numFmtId="172" fontId="0" fillId="0"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73" fontId="0" fillId="0" borderId="1" xfId="0" applyFont="true" applyBorder="true" applyAlignment="true" applyProtection="false">
      <alignment horizontal="center" vertical="center" textRotation="0" wrapText="true" indent="0" shrinkToFit="false"/>
      <protection locked="true" hidden="false"/>
    </xf>
    <xf numFmtId="172" fontId="0" fillId="0" borderId="1" xfId="0" applyFont="true" applyBorder="true" applyAlignment="true" applyProtection="false">
      <alignment horizontal="center" vertical="center" textRotation="0" wrapText="true" indent="0" shrinkToFit="false"/>
      <protection locked="true" hidden="false"/>
    </xf>
    <xf numFmtId="172" fontId="8" fillId="2"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0" fillId="4" borderId="1" xfId="0" applyFont="true" applyBorder="true" applyAlignment="true" applyProtection="false">
      <alignment horizontal="center" vertical="top" textRotation="0" wrapText="true" indent="0" shrinkToFit="false"/>
      <protection locked="true" hidden="false"/>
    </xf>
    <xf numFmtId="171" fontId="0" fillId="4" borderId="1" xfId="0" applyFont="true" applyBorder="true" applyAlignment="true" applyProtection="false">
      <alignment horizontal="center" vertical="top" textRotation="0" wrapText="true" indent="0" shrinkToFit="false"/>
      <protection locked="true" hidden="false"/>
    </xf>
    <xf numFmtId="167" fontId="0" fillId="0" borderId="1" xfId="0" applyFont="true" applyBorder="true" applyAlignment="true" applyProtection="false">
      <alignment horizontal="center" vertical="top" textRotation="0" wrapText="true" indent="0" shrinkToFit="false"/>
      <protection locked="true" hidden="false"/>
    </xf>
    <xf numFmtId="175" fontId="0" fillId="4" borderId="1" xfId="0" applyFont="true" applyBorder="true" applyAlignment="true" applyProtection="false">
      <alignment horizontal="center" vertical="center" textRotation="0" wrapText="true" indent="0" shrinkToFit="false"/>
      <protection locked="true" hidden="false"/>
    </xf>
    <xf numFmtId="165" fontId="0" fillId="4" borderId="1" xfId="0" applyFont="true" applyBorder="true" applyAlignment="true" applyProtection="false">
      <alignment horizontal="center" vertical="center" textRotation="0" wrapText="true" indent="0" shrinkToFit="false"/>
      <protection locked="true" hidden="false"/>
    </xf>
    <xf numFmtId="165" fontId="0" fillId="0" borderId="1" xfId="0" applyFont="true" applyBorder="true" applyAlignment="true" applyProtection="false">
      <alignment horizontal="center" vertical="center" textRotation="0" wrapText="true" indent="0" shrinkToFit="false"/>
      <protection locked="true" hidden="false"/>
    </xf>
    <xf numFmtId="166" fontId="0" fillId="4" borderId="1" xfId="0" applyFont="true" applyBorder="true" applyAlignment="true" applyProtection="false">
      <alignment horizontal="center" vertical="center" textRotation="0" wrapText="true" indent="0" shrinkToFit="false"/>
      <protection locked="true" hidden="false"/>
    </xf>
    <xf numFmtId="166" fontId="0" fillId="0" borderId="1" xfId="0" applyFont="true" applyBorder="true" applyAlignment="true" applyProtection="false">
      <alignment horizontal="center" vertical="center" textRotation="0" wrapText="true" indent="0" shrinkToFit="false"/>
      <protection locked="true" hidden="false"/>
    </xf>
    <xf numFmtId="167" fontId="8" fillId="4" borderId="1" xfId="0" applyFont="true" applyBorder="true" applyAlignment="true" applyProtection="false">
      <alignment horizontal="center" vertical="center" textRotation="0" wrapText="true" indent="0" shrinkToFit="false"/>
      <protection locked="true" hidden="false"/>
    </xf>
    <xf numFmtId="173" fontId="8" fillId="4" borderId="1" xfId="0" applyFont="true" applyBorder="true" applyAlignment="true" applyProtection="false">
      <alignment horizontal="center" vertical="center" textRotation="0" wrapText="true" indent="0" shrinkToFit="false"/>
      <protection locked="true" hidden="false"/>
    </xf>
    <xf numFmtId="176" fontId="8" fillId="4" borderId="1" xfId="0" applyFont="true" applyBorder="true" applyAlignment="true" applyProtection="false">
      <alignment horizontal="center" vertical="center" textRotation="0" wrapText="true" indent="0" shrinkToFit="false"/>
      <protection locked="true" hidden="false"/>
    </xf>
    <xf numFmtId="176" fontId="0" fillId="4" borderId="1" xfId="0" applyFont="true" applyBorder="true" applyAlignment="true" applyProtection="false">
      <alignment horizontal="center" vertical="top" textRotation="0" wrapText="true" indent="0" shrinkToFit="false"/>
      <protection locked="true" hidden="false"/>
    </xf>
    <xf numFmtId="171" fontId="0" fillId="0" borderId="1" xfId="0" applyFont="true" applyBorder="true" applyAlignment="true" applyProtection="false">
      <alignment horizontal="center" vertical="top" textRotation="0" wrapText="true" indent="0" shrinkToFit="false"/>
      <protection locked="true" hidden="false"/>
    </xf>
    <xf numFmtId="171" fontId="0" fillId="0" borderId="1" xfId="0" applyFont="true" applyBorder="true" applyAlignment="true" applyProtection="false">
      <alignment horizontal="center" vertical="center" textRotation="0" wrapText="true" indent="0" shrinkToFit="false"/>
      <protection locked="true" hidden="false"/>
    </xf>
    <xf numFmtId="172"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CBD"/>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DAE"/>
      <rgbColor rgb="FF99CCFF"/>
      <rgbColor rgb="FFFF99CC"/>
      <rgbColor rgb="FFCC99FF"/>
      <rgbColor rgb="FFFFCC99"/>
      <rgbColor rgb="FF3366FF"/>
      <rgbColor rgb="FF33CCCC"/>
      <rgbColor rgb="FF99CC00"/>
      <rgbColor rgb="FFFFDC43"/>
      <rgbColor rgb="FFFF9900"/>
      <rgbColor rgb="FFFF6600"/>
      <rgbColor rgb="FF5D686D"/>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686D"/>
    <pageSetUpPr fitToPage="true"/>
  </sheetPr>
  <dimension ref="A1:C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00"/>
  </cols>
  <sheetData>
    <row r="1" customFormat="false" ht="30" hidden="false" customHeight="true" outlineLevel="0" collapsed="false">
      <c r="A1" s="1" t="s">
        <v>0</v>
      </c>
      <c r="B1" s="2"/>
      <c r="C1" s="2"/>
    </row>
    <row r="2" customFormat="false" ht="18" hidden="false" customHeight="true" outlineLevel="0" collapsed="false">
      <c r="A2" s="3" t="s">
        <v>1</v>
      </c>
      <c r="B2" s="2"/>
      <c r="C2" s="2"/>
    </row>
    <row r="4" customFormat="false" ht="15" hidden="false" customHeight="false" outlineLevel="0" collapsed="false">
      <c r="A4" s="4"/>
      <c r="B4" s="5" t="s">
        <v>2</v>
      </c>
      <c r="C4" s="4"/>
    </row>
    <row r="5" customFormat="false" ht="32.25" hidden="false" customHeight="true" outlineLevel="0" collapsed="false">
      <c r="A5" s="6" t="s">
        <v>3</v>
      </c>
      <c r="B5" s="7" t="s">
        <v>4</v>
      </c>
      <c r="C5" s="8" t="s">
        <v>5</v>
      </c>
    </row>
    <row r="6" customFormat="false" ht="45" hidden="false" customHeight="true" outlineLevel="0" collapsed="false">
      <c r="A6" s="6" t="s">
        <v>3</v>
      </c>
      <c r="B6" s="7" t="s">
        <v>6</v>
      </c>
      <c r="C6" s="8" t="s">
        <v>7</v>
      </c>
    </row>
    <row r="7" customFormat="false" ht="18.75" hidden="false" customHeight="true" outlineLevel="0" collapsed="false">
      <c r="A7" s="6" t="s">
        <v>3</v>
      </c>
      <c r="B7" s="7" t="s">
        <v>8</v>
      </c>
      <c r="C7" s="8" t="s">
        <v>9</v>
      </c>
    </row>
    <row r="8" customFormat="false" ht="32.25" hidden="false" customHeight="true" outlineLevel="0" collapsed="false">
      <c r="A8" s="6" t="s">
        <v>3</v>
      </c>
      <c r="B8" s="7" t="s">
        <v>10</v>
      </c>
      <c r="C8" s="8" t="s">
        <v>11</v>
      </c>
    </row>
    <row r="9" customFormat="false" ht="18.75" hidden="false" customHeight="true" outlineLevel="0" collapsed="false">
      <c r="A9" s="6" t="s">
        <v>3</v>
      </c>
      <c r="B9" s="7" t="s">
        <v>12</v>
      </c>
      <c r="C9" s="8" t="s">
        <v>13</v>
      </c>
    </row>
    <row r="11" customFormat="false" ht="15" hidden="false" customHeight="false" outlineLevel="0" collapsed="false">
      <c r="A11" s="4"/>
      <c r="B11" s="5" t="s">
        <v>14</v>
      </c>
      <c r="C11" s="4"/>
    </row>
    <row r="12" customFormat="false" ht="32.25" hidden="false" customHeight="true" outlineLevel="0" collapsed="false">
      <c r="A12" s="6" t="s">
        <v>3</v>
      </c>
      <c r="B12" s="7" t="s">
        <v>15</v>
      </c>
      <c r="C12" s="8" t="s">
        <v>16</v>
      </c>
    </row>
    <row r="13" customFormat="false" ht="32.25" hidden="false" customHeight="true" outlineLevel="0" collapsed="false">
      <c r="A13" s="6" t="s">
        <v>3</v>
      </c>
      <c r="B13" s="7" t="s">
        <v>17</v>
      </c>
      <c r="C13" s="8" t="s">
        <v>18</v>
      </c>
    </row>
    <row r="14" customFormat="false" ht="18.75" hidden="false" customHeight="true" outlineLevel="0" collapsed="false">
      <c r="A14" s="6" t="s">
        <v>3</v>
      </c>
      <c r="B14" s="7" t="s">
        <v>19</v>
      </c>
      <c r="C14" s="8" t="s">
        <v>20</v>
      </c>
    </row>
    <row r="15" customFormat="false" ht="18.75" hidden="false" customHeight="true" outlineLevel="0" collapsed="false">
      <c r="A15" s="6" t="s">
        <v>3</v>
      </c>
      <c r="B15" s="7" t="s">
        <v>21</v>
      </c>
      <c r="C15" s="8" t="s">
        <v>22</v>
      </c>
    </row>
    <row r="16" customFormat="false" ht="32.25" hidden="false" customHeight="true" outlineLevel="0" collapsed="false">
      <c r="A16" s="6" t="s">
        <v>3</v>
      </c>
      <c r="B16" s="7" t="s">
        <v>23</v>
      </c>
      <c r="C16" s="8" t="s">
        <v>24</v>
      </c>
    </row>
    <row r="18" customFormat="false" ht="15" hidden="false" customHeight="false" outlineLevel="0" collapsed="false">
      <c r="A18" s="4"/>
      <c r="B18" s="5" t="s">
        <v>25</v>
      </c>
      <c r="C18" s="4"/>
    </row>
    <row r="19" customFormat="false" ht="18.75" hidden="false" customHeight="true" outlineLevel="0" collapsed="false">
      <c r="A19" s="6" t="s">
        <v>3</v>
      </c>
      <c r="B19" s="7" t="s">
        <v>26</v>
      </c>
      <c r="C19" s="8" t="s">
        <v>27</v>
      </c>
    </row>
    <row r="20" customFormat="false" ht="18.75" hidden="false" customHeight="true" outlineLevel="0" collapsed="false">
      <c r="A20" s="6" t="s">
        <v>3</v>
      </c>
      <c r="B20" s="7" t="s">
        <v>28</v>
      </c>
      <c r="C20" s="8" t="s">
        <v>29</v>
      </c>
    </row>
    <row r="21" customFormat="false" ht="18.75" hidden="false" customHeight="true" outlineLevel="0" collapsed="false">
      <c r="A21" s="6" t="s">
        <v>3</v>
      </c>
      <c r="B21" s="7" t="s">
        <v>30</v>
      </c>
      <c r="C21" s="8" t="s">
        <v>31</v>
      </c>
    </row>
    <row r="22" customFormat="false" ht="32.25" hidden="false" customHeight="true" outlineLevel="0" collapsed="false">
      <c r="A22" s="6" t="s">
        <v>3</v>
      </c>
      <c r="B22" s="7" t="s">
        <v>32</v>
      </c>
      <c r="C22" s="8" t="s">
        <v>33</v>
      </c>
    </row>
    <row r="23" customFormat="false" ht="32.25" hidden="false" customHeight="true" outlineLevel="0" collapsed="false">
      <c r="A23" s="6" t="s">
        <v>3</v>
      </c>
      <c r="B23" s="7" t="s">
        <v>34</v>
      </c>
      <c r="C23" s="8" t="s">
        <v>35</v>
      </c>
    </row>
    <row r="24" customFormat="false" ht="18.75" hidden="false" customHeight="true" outlineLevel="0" collapsed="false">
      <c r="A24" s="6" t="s">
        <v>3</v>
      </c>
      <c r="B24" s="7" t="s">
        <v>36</v>
      </c>
      <c r="C24" s="8" t="s">
        <v>37</v>
      </c>
    </row>
    <row r="25" customFormat="false" ht="32.25" hidden="false" customHeight="true" outlineLevel="0" collapsed="false">
      <c r="A25" s="6" t="s">
        <v>3</v>
      </c>
      <c r="B25" s="7" t="s">
        <v>38</v>
      </c>
      <c r="C25" s="8" t="s">
        <v>39</v>
      </c>
    </row>
    <row r="26" customFormat="false" ht="32.25" hidden="false" customHeight="true" outlineLevel="0" collapsed="false">
      <c r="A26" s="6" t="s">
        <v>3</v>
      </c>
      <c r="B26" s="7" t="s">
        <v>40</v>
      </c>
      <c r="C26" s="8" t="s">
        <v>41</v>
      </c>
    </row>
    <row r="27" customFormat="false" ht="18.75" hidden="false" customHeight="true" outlineLevel="0" collapsed="false">
      <c r="A27" s="6" t="s">
        <v>3</v>
      </c>
      <c r="B27" s="7" t="s">
        <v>42</v>
      </c>
      <c r="C27" s="8" t="s">
        <v>43</v>
      </c>
    </row>
    <row r="29" customFormat="false" ht="15" hidden="false" customHeight="false" outlineLevel="0" collapsed="false">
      <c r="A29" s="4"/>
      <c r="B29" s="5" t="s">
        <v>44</v>
      </c>
      <c r="C29" s="4"/>
    </row>
    <row r="30" customFormat="false" ht="32.25" hidden="false" customHeight="true" outlineLevel="0" collapsed="false">
      <c r="A30" s="6" t="s">
        <v>3</v>
      </c>
      <c r="B30" s="7" t="s">
        <v>45</v>
      </c>
      <c r="C30" s="8" t="s">
        <v>46</v>
      </c>
    </row>
    <row r="31" customFormat="false" ht="32.25" hidden="false" customHeight="true" outlineLevel="0" collapsed="false">
      <c r="A31" s="6" t="s">
        <v>3</v>
      </c>
      <c r="B31" s="7" t="s">
        <v>47</v>
      </c>
      <c r="C31" s="8" t="s">
        <v>48</v>
      </c>
    </row>
    <row r="32" customFormat="false" ht="32.25" hidden="false" customHeight="true" outlineLevel="0" collapsed="false">
      <c r="A32" s="6" t="s">
        <v>3</v>
      </c>
      <c r="B32" s="7" t="s">
        <v>49</v>
      </c>
      <c r="C32" s="8" t="s">
        <v>50</v>
      </c>
    </row>
  </sheetData>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&amp;LBOMAG Compare Hub&amp;R&amp;P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686D"/>
    <pageSetUpPr fitToPage="tru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2"/>
    <col collapsed="false" customWidth="true" hidden="false" outlineLevel="0" max="4" min="4" style="0" width="70"/>
  </cols>
  <sheetData>
    <row r="1" customFormat="false" ht="30" hidden="false" customHeight="true" outlineLevel="0" collapsed="false">
      <c r="A1" s="1" t="s">
        <v>51</v>
      </c>
      <c r="B1" s="2"/>
      <c r="C1" s="2"/>
      <c r="D1" s="2"/>
    </row>
    <row r="2" customFormat="false" ht="18" hidden="false" customHeight="true" outlineLevel="0" collapsed="false">
      <c r="A2" s="3" t="s">
        <v>52</v>
      </c>
      <c r="B2" s="2"/>
      <c r="C2" s="2"/>
      <c r="D2" s="2"/>
    </row>
    <row r="4" customFormat="false" ht="30" hidden="false" customHeight="true" outlineLevel="0" collapsed="false">
      <c r="A4" s="9" t="s">
        <v>53</v>
      </c>
      <c r="B4" s="10" t="s">
        <v>54</v>
      </c>
      <c r="C4" s="10" t="s">
        <v>55</v>
      </c>
      <c r="D4" s="10" t="s">
        <v>56</v>
      </c>
    </row>
    <row r="5" customFormat="false" ht="15" hidden="false" customHeight="false" outlineLevel="0" collapsed="false">
      <c r="A5" s="11" t="s">
        <v>57</v>
      </c>
      <c r="B5" s="12" t="n">
        <v>1.2</v>
      </c>
      <c r="C5" s="13" t="s">
        <v>58</v>
      </c>
      <c r="D5" s="14" t="s">
        <v>59</v>
      </c>
    </row>
    <row r="6" customFormat="false" ht="15" hidden="false" customHeight="false" outlineLevel="0" collapsed="false">
      <c r="A6" s="11" t="s">
        <v>60</v>
      </c>
      <c r="B6" s="15" t="n">
        <v>3000</v>
      </c>
      <c r="C6" s="13" t="s">
        <v>61</v>
      </c>
      <c r="D6" s="14" t="s">
        <v>59</v>
      </c>
    </row>
    <row r="7" customFormat="false" ht="15" hidden="false" customHeight="false" outlineLevel="0" collapsed="false">
      <c r="A7" s="11" t="s">
        <v>62</v>
      </c>
      <c r="B7" s="16" t="n">
        <v>1.08</v>
      </c>
      <c r="C7" s="13" t="s">
        <v>63</v>
      </c>
      <c r="D7" s="14" t="s">
        <v>64</v>
      </c>
    </row>
    <row r="9" customFormat="false" ht="30" hidden="false" customHeight="true" outlineLevel="0" collapsed="false">
      <c r="A9" s="9" t="s">
        <v>65</v>
      </c>
      <c r="B9" s="10" t="s">
        <v>66</v>
      </c>
      <c r="C9" s="10"/>
      <c r="D9" s="10" t="s">
        <v>56</v>
      </c>
    </row>
    <row r="10" customFormat="false" ht="15" hidden="false" customHeight="false" outlineLevel="0" collapsed="false">
      <c r="A10" s="11" t="s">
        <v>67</v>
      </c>
      <c r="B10" s="17" t="n">
        <v>1</v>
      </c>
      <c r="C10" s="11"/>
      <c r="D10" s="14" t="s">
        <v>68</v>
      </c>
    </row>
    <row r="11" customFormat="false" ht="15" hidden="false" customHeight="false" outlineLevel="0" collapsed="false">
      <c r="A11" s="11" t="s">
        <v>69</v>
      </c>
      <c r="B11" s="17" t="n">
        <v>0.92</v>
      </c>
      <c r="C11" s="11"/>
      <c r="D11" s="11"/>
    </row>
    <row r="12" customFormat="false" ht="15" hidden="false" customHeight="false" outlineLevel="0" collapsed="false">
      <c r="A12" s="11" t="s">
        <v>70</v>
      </c>
      <c r="B12" s="17" t="n">
        <v>16500</v>
      </c>
      <c r="C12" s="11"/>
      <c r="D12" s="11"/>
    </row>
    <row r="13" customFormat="false" ht="15" hidden="false" customHeight="false" outlineLevel="0" collapsed="false">
      <c r="A13" s="11" t="s">
        <v>71</v>
      </c>
      <c r="B13" s="17" t="n">
        <v>1380</v>
      </c>
      <c r="C13" s="11"/>
      <c r="D13" s="11"/>
    </row>
    <row r="14" customFormat="false" ht="15" hidden="false" customHeight="false" outlineLevel="0" collapsed="false">
      <c r="A14" s="11" t="s">
        <v>72</v>
      </c>
      <c r="B14" s="17" t="n">
        <v>33.5</v>
      </c>
      <c r="C14" s="11"/>
      <c r="D14" s="11"/>
    </row>
    <row r="15" customFormat="false" ht="15" hidden="false" customHeight="false" outlineLevel="0" collapsed="false">
      <c r="A15" s="11" t="s">
        <v>73</v>
      </c>
      <c r="B15" s="17" t="n">
        <v>25500</v>
      </c>
      <c r="C15" s="11"/>
      <c r="D15" s="11"/>
    </row>
    <row r="16" customFormat="false" ht="15" hidden="false" customHeight="false" outlineLevel="0" collapsed="false">
      <c r="A16" s="11" t="s">
        <v>74</v>
      </c>
      <c r="B16" s="17" t="n">
        <v>4.45</v>
      </c>
      <c r="C16" s="11"/>
      <c r="D16" s="11"/>
    </row>
    <row r="17" customFormat="false" ht="15" hidden="false" customHeight="false" outlineLevel="0" collapsed="false">
      <c r="A17" s="11" t="s">
        <v>75</v>
      </c>
      <c r="B17" s="17" t="n">
        <v>58</v>
      </c>
      <c r="C17" s="11"/>
      <c r="D17" s="11"/>
    </row>
    <row r="19" customFormat="false" ht="15" hidden="false" customHeight="false" outlineLevel="0" collapsed="false">
      <c r="A19" s="18" t="s">
        <v>76</v>
      </c>
      <c r="B19" s="19" t="s">
        <v>67</v>
      </c>
    </row>
    <row r="20" customFormat="false" ht="15" hidden="false" customHeight="false" outlineLevel="0" collapsed="false">
      <c r="A20" s="11" t="s">
        <v>77</v>
      </c>
      <c r="B20" s="20" t="n">
        <f aca="false">INDEX($B$10:$B$17,MATCH(Currency,$A$10:$A$17,0))</f>
        <v>1</v>
      </c>
    </row>
  </sheetData>
  <dataValidations count="1">
    <dataValidation allowBlank="false" errorStyle="stop" operator="between" showDropDown="false" showErrorMessage="false" showInputMessage="false" sqref="B19" type="list">
      <formula1>$A$10:$A$17</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&amp;LBOMAG Compare Hub&amp;R&amp;P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C43"/>
    <pageSetUpPr fitToPage="true"/>
  </sheetPr>
  <dimension ref="A1:AX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1"/>
    <col collapsed="false" customWidth="true" hidden="false" outlineLevel="0" max="50" min="3" style="0" width="26"/>
  </cols>
  <sheetData>
    <row r="1" customFormat="false" ht="30" hidden="false" customHeight="true" outlineLevel="0" collapsed="false">
      <c r="A1" s="1" t="s">
        <v>78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row>
    <row r="2" customFormat="false" ht="18" hidden="false" customHeight="true" outlineLevel="0" collapsed="false">
      <c r="A2" s="3" t="s">
        <v>79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4" customFormat="false" ht="39.75" hidden="false" customHeight="true" outlineLevel="0" collapsed="false">
      <c r="A4" s="21" t="s">
        <v>80</v>
      </c>
      <c r="B4" s="22"/>
      <c r="C4" s="23" t="s">
        <v>81</v>
      </c>
      <c r="D4" s="23" t="s">
        <v>82</v>
      </c>
      <c r="E4" s="23" t="s">
        <v>83</v>
      </c>
      <c r="F4" s="23" t="s">
        <v>84</v>
      </c>
      <c r="G4" s="23" t="s">
        <v>85</v>
      </c>
      <c r="H4" s="23" t="s">
        <v>86</v>
      </c>
      <c r="I4" s="23" t="s">
        <v>87</v>
      </c>
      <c r="J4" s="23" t="s">
        <v>88</v>
      </c>
      <c r="K4" s="23" t="s">
        <v>89</v>
      </c>
      <c r="L4" s="23" t="s">
        <v>90</v>
      </c>
      <c r="M4" s="23" t="s">
        <v>91</v>
      </c>
      <c r="N4" s="23" t="s">
        <v>23</v>
      </c>
    </row>
    <row r="5" customFormat="false" ht="30" hidden="false" customHeight="true" outlineLevel="0" collapsed="false">
      <c r="A5" s="24" t="s">
        <v>92</v>
      </c>
      <c r="B5" s="11"/>
      <c r="C5" s="25" t="n">
        <f aca="false">DieselPrice</f>
        <v>1.2</v>
      </c>
      <c r="D5" s="26" t="n">
        <f aca="false">OperatingHours</f>
        <v>3000</v>
      </c>
      <c r="E5" s="27" t="s">
        <v>93</v>
      </c>
      <c r="F5" s="28" t="n">
        <v>1</v>
      </c>
      <c r="G5" s="29" t="n">
        <v>0</v>
      </c>
      <c r="H5" s="30" t="n">
        <v>1.25</v>
      </c>
      <c r="I5" s="31" t="n">
        <v>35</v>
      </c>
      <c r="J5" s="31" t="n">
        <v>120</v>
      </c>
      <c r="K5" s="31" t="n">
        <v>15</v>
      </c>
      <c r="L5" s="29" t="n">
        <v>50</v>
      </c>
      <c r="M5" s="32" t="n">
        <v>0.5</v>
      </c>
      <c r="N5" s="27" t="s">
        <v>94</v>
      </c>
    </row>
    <row r="7" customFormat="false" ht="19.4" hidden="false" customHeight="false" outlineLevel="0" collapsed="false">
      <c r="A7" s="33" t="s">
        <v>95</v>
      </c>
      <c r="B7" s="11"/>
      <c r="C7" s="34" t="s">
        <v>94</v>
      </c>
      <c r="D7" s="34" t="s">
        <v>96</v>
      </c>
      <c r="E7" s="34" t="s">
        <v>97</v>
      </c>
      <c r="F7" s="34" t="s">
        <v>98</v>
      </c>
      <c r="G7" s="34" t="s">
        <v>99</v>
      </c>
      <c r="H7" s="34" t="s">
        <v>100</v>
      </c>
      <c r="I7" s="34" t="s">
        <v>101</v>
      </c>
      <c r="J7" s="34" t="s">
        <v>102</v>
      </c>
      <c r="K7" s="34" t="s">
        <v>103</v>
      </c>
      <c r="L7" s="34" t="s">
        <v>104</v>
      </c>
      <c r="M7" s="34" t="s">
        <v>105</v>
      </c>
      <c r="N7" s="34" t="s">
        <v>106</v>
      </c>
      <c r="O7" s="34" t="s">
        <v>107</v>
      </c>
      <c r="P7" s="34" t="s">
        <v>108</v>
      </c>
      <c r="Q7" s="34" t="s">
        <v>109</v>
      </c>
      <c r="R7" s="34" t="s">
        <v>110</v>
      </c>
      <c r="S7" s="34" t="s">
        <v>111</v>
      </c>
      <c r="T7" s="34" t="s">
        <v>112</v>
      </c>
      <c r="U7" s="34" t="s">
        <v>113</v>
      </c>
      <c r="V7" s="34" t="s">
        <v>114</v>
      </c>
      <c r="W7" s="34" t="s">
        <v>115</v>
      </c>
      <c r="X7" s="34" t="s">
        <v>116</v>
      </c>
      <c r="Y7" s="34" t="s">
        <v>117</v>
      </c>
      <c r="Z7" s="34" t="s">
        <v>118</v>
      </c>
      <c r="AA7" s="34" t="s">
        <v>119</v>
      </c>
      <c r="AB7" s="34" t="s">
        <v>120</v>
      </c>
      <c r="AC7" s="34" t="s">
        <v>121</v>
      </c>
      <c r="AD7" s="34" t="s">
        <v>122</v>
      </c>
      <c r="AE7" s="34" t="s">
        <v>123</v>
      </c>
      <c r="AF7" s="34" t="s">
        <v>124</v>
      </c>
      <c r="AG7" s="34" t="s">
        <v>125</v>
      </c>
      <c r="AH7" s="34" t="s">
        <v>126</v>
      </c>
      <c r="AI7" s="34" t="s">
        <v>127</v>
      </c>
      <c r="AJ7" s="34" t="s">
        <v>128</v>
      </c>
      <c r="AK7" s="34" t="s">
        <v>129</v>
      </c>
      <c r="AL7" s="34" t="s">
        <v>130</v>
      </c>
      <c r="AM7" s="34" t="s">
        <v>131</v>
      </c>
      <c r="AN7" s="34" t="s">
        <v>132</v>
      </c>
      <c r="AO7" s="34" t="s">
        <v>133</v>
      </c>
      <c r="AP7" s="34" t="s">
        <v>134</v>
      </c>
      <c r="AQ7" s="34" t="s">
        <v>135</v>
      </c>
      <c r="AR7" s="34" t="s">
        <v>136</v>
      </c>
      <c r="AS7" s="34" t="s">
        <v>137</v>
      </c>
      <c r="AT7" s="34" t="s">
        <v>138</v>
      </c>
      <c r="AU7" s="34" t="s">
        <v>139</v>
      </c>
      <c r="AV7" s="34" t="s">
        <v>140</v>
      </c>
      <c r="AW7" s="34" t="s">
        <v>141</v>
      </c>
      <c r="AX7" s="34" t="s">
        <v>142</v>
      </c>
    </row>
    <row r="8" customFormat="false" ht="15" hidden="false" customHeight="false" outlineLevel="0" collapsed="false">
      <c r="A8" s="35" t="s">
        <v>143</v>
      </c>
      <c r="B8" s="36"/>
      <c r="C8" s="37" t="s">
        <v>144</v>
      </c>
      <c r="D8" s="37" t="s">
        <v>144</v>
      </c>
      <c r="E8" s="37" t="s">
        <v>144</v>
      </c>
      <c r="F8" s="37" t="s">
        <v>144</v>
      </c>
      <c r="G8" s="37" t="s">
        <v>144</v>
      </c>
      <c r="H8" s="37" t="s">
        <v>144</v>
      </c>
      <c r="I8" s="37" t="s">
        <v>144</v>
      </c>
      <c r="J8" s="37" t="s">
        <v>144</v>
      </c>
      <c r="K8" s="37" t="s">
        <v>144</v>
      </c>
      <c r="L8" s="37" t="s">
        <v>144</v>
      </c>
      <c r="M8" s="38" t="s">
        <v>145</v>
      </c>
      <c r="N8" s="38" t="s">
        <v>145</v>
      </c>
      <c r="O8" s="38" t="s">
        <v>145</v>
      </c>
      <c r="P8" s="38" t="s">
        <v>145</v>
      </c>
      <c r="Q8" s="38" t="s">
        <v>146</v>
      </c>
      <c r="R8" s="38" t="s">
        <v>146</v>
      </c>
      <c r="S8" s="38" t="s">
        <v>146</v>
      </c>
      <c r="T8" s="38" t="s">
        <v>146</v>
      </c>
      <c r="U8" s="38" t="s">
        <v>146</v>
      </c>
      <c r="V8" s="38" t="s">
        <v>147</v>
      </c>
      <c r="W8" s="38" t="s">
        <v>148</v>
      </c>
      <c r="X8" s="38" t="s">
        <v>148</v>
      </c>
      <c r="Y8" s="38" t="s">
        <v>148</v>
      </c>
      <c r="Z8" s="38" t="s">
        <v>148</v>
      </c>
      <c r="AA8" s="38" t="s">
        <v>148</v>
      </c>
      <c r="AB8" s="38" t="s">
        <v>148</v>
      </c>
      <c r="AC8" s="38" t="s">
        <v>149</v>
      </c>
      <c r="AD8" s="38" t="s">
        <v>149</v>
      </c>
      <c r="AE8" s="38" t="s">
        <v>149</v>
      </c>
      <c r="AF8" s="38" t="s">
        <v>149</v>
      </c>
      <c r="AG8" s="38" t="s">
        <v>150</v>
      </c>
      <c r="AH8" s="38" t="s">
        <v>150</v>
      </c>
      <c r="AI8" s="38" t="s">
        <v>150</v>
      </c>
      <c r="AJ8" s="38" t="s">
        <v>150</v>
      </c>
      <c r="AK8" s="38" t="s">
        <v>150</v>
      </c>
      <c r="AL8" s="38" t="s">
        <v>150</v>
      </c>
      <c r="AM8" s="38" t="s">
        <v>151</v>
      </c>
      <c r="AN8" s="38" t="s">
        <v>151</v>
      </c>
      <c r="AO8" s="38" t="s">
        <v>151</v>
      </c>
      <c r="AP8" s="38" t="s">
        <v>152</v>
      </c>
      <c r="AQ8" s="38" t="s">
        <v>152</v>
      </c>
      <c r="AR8" s="38" t="s">
        <v>153</v>
      </c>
      <c r="AS8" s="38" t="s">
        <v>153</v>
      </c>
      <c r="AT8" s="38" t="s">
        <v>153</v>
      </c>
      <c r="AU8" s="38" t="s">
        <v>154</v>
      </c>
      <c r="AV8" s="38" t="s">
        <v>155</v>
      </c>
      <c r="AW8" s="38" t="s">
        <v>156</v>
      </c>
      <c r="AX8" s="38" t="s">
        <v>157</v>
      </c>
    </row>
    <row r="9" customFormat="false" ht="27.75" hidden="false" customHeight="true" outlineLevel="0" collapsed="false">
      <c r="A9" s="35" t="s">
        <v>158</v>
      </c>
      <c r="B9" s="39" t="s">
        <v>55</v>
      </c>
      <c r="C9" s="10" t="s">
        <v>159</v>
      </c>
      <c r="D9" s="10" t="s">
        <v>159</v>
      </c>
      <c r="E9" s="10" t="s">
        <v>159</v>
      </c>
      <c r="F9" s="10" t="s">
        <v>159</v>
      </c>
      <c r="G9" s="10" t="s">
        <v>160</v>
      </c>
      <c r="H9" s="10" t="s">
        <v>161</v>
      </c>
      <c r="I9" s="10" t="s">
        <v>162</v>
      </c>
      <c r="J9" s="10" t="s">
        <v>163</v>
      </c>
      <c r="K9" s="10" t="s">
        <v>164</v>
      </c>
      <c r="L9" s="10" t="s">
        <v>165</v>
      </c>
      <c r="M9" s="40" t="s">
        <v>166</v>
      </c>
      <c r="N9" s="40" t="s">
        <v>167</v>
      </c>
      <c r="O9" s="40" t="s">
        <v>168</v>
      </c>
      <c r="P9" s="40" t="s">
        <v>169</v>
      </c>
      <c r="Q9" s="40" t="s">
        <v>170</v>
      </c>
      <c r="R9" s="40" t="s">
        <v>171</v>
      </c>
      <c r="S9" s="40" t="s">
        <v>172</v>
      </c>
      <c r="T9" s="40" t="s">
        <v>173</v>
      </c>
      <c r="U9" s="40" t="s">
        <v>174</v>
      </c>
      <c r="V9" s="40" t="s">
        <v>175</v>
      </c>
      <c r="W9" s="40" t="s">
        <v>176</v>
      </c>
      <c r="X9" s="40" t="s">
        <v>177</v>
      </c>
      <c r="Y9" s="40" t="s">
        <v>178</v>
      </c>
      <c r="Z9" s="40" t="s">
        <v>179</v>
      </c>
      <c r="AA9" s="40" t="s">
        <v>180</v>
      </c>
      <c r="AB9" s="40" t="s">
        <v>181</v>
      </c>
      <c r="AC9" s="40" t="s">
        <v>182</v>
      </c>
      <c r="AD9" s="40" t="s">
        <v>183</v>
      </c>
      <c r="AE9" s="40" t="s">
        <v>184</v>
      </c>
      <c r="AF9" s="40" t="s">
        <v>185</v>
      </c>
      <c r="AG9" s="40" t="s">
        <v>186</v>
      </c>
      <c r="AH9" s="40" t="s">
        <v>187</v>
      </c>
      <c r="AI9" s="40" t="s">
        <v>188</v>
      </c>
      <c r="AJ9" s="40" t="s">
        <v>189</v>
      </c>
      <c r="AK9" s="40" t="s">
        <v>190</v>
      </c>
      <c r="AL9" s="40" t="s">
        <v>191</v>
      </c>
      <c r="AM9" s="40" t="s">
        <v>192</v>
      </c>
      <c r="AN9" s="40" t="s">
        <v>193</v>
      </c>
      <c r="AO9" s="40" t="s">
        <v>194</v>
      </c>
      <c r="AP9" s="40" t="s">
        <v>195</v>
      </c>
      <c r="AQ9" s="40" t="s">
        <v>196</v>
      </c>
      <c r="AR9" s="40" t="s">
        <v>197</v>
      </c>
      <c r="AS9" s="40" t="s">
        <v>198</v>
      </c>
      <c r="AT9" s="40" t="s">
        <v>199</v>
      </c>
      <c r="AU9" s="40" t="s">
        <v>200</v>
      </c>
      <c r="AV9" s="40" t="s">
        <v>201</v>
      </c>
      <c r="AW9" s="40" t="s">
        <v>202</v>
      </c>
      <c r="AX9" s="40" t="s">
        <v>203</v>
      </c>
    </row>
    <row r="11" customFormat="false" ht="19.5" hidden="false" customHeight="true" outlineLevel="0" collapsed="false">
      <c r="A11" s="21" t="s">
        <v>204</v>
      </c>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row>
    <row r="12" customFormat="false" ht="18.75" hidden="false" customHeight="true" outlineLevel="0" collapsed="false">
      <c r="A12" s="14" t="s">
        <v>205</v>
      </c>
      <c r="B12" s="41"/>
      <c r="C12" s="42" t="s">
        <v>206</v>
      </c>
      <c r="D12" s="42" t="s">
        <v>207</v>
      </c>
      <c r="E12" s="42" t="s">
        <v>208</v>
      </c>
      <c r="F12" s="42" t="s">
        <v>209</v>
      </c>
      <c r="G12" s="42" t="s">
        <v>210</v>
      </c>
      <c r="H12" s="42" t="s">
        <v>211</v>
      </c>
      <c r="I12" s="42" t="s">
        <v>211</v>
      </c>
      <c r="J12" s="42" t="s">
        <v>212</v>
      </c>
      <c r="K12" s="42" t="s">
        <v>212</v>
      </c>
      <c r="L12" s="42" t="s">
        <v>212</v>
      </c>
      <c r="M12" s="42" t="s">
        <v>212</v>
      </c>
      <c r="N12" s="42" t="s">
        <v>212</v>
      </c>
      <c r="O12" s="42" t="s">
        <v>212</v>
      </c>
      <c r="P12" s="42" t="s">
        <v>212</v>
      </c>
      <c r="Q12" s="42" t="s">
        <v>212</v>
      </c>
      <c r="R12" s="42" t="s">
        <v>212</v>
      </c>
      <c r="S12" s="42" t="s">
        <v>212</v>
      </c>
      <c r="T12" s="42" t="s">
        <v>212</v>
      </c>
      <c r="U12" s="42" t="s">
        <v>212</v>
      </c>
      <c r="V12" s="42" t="s">
        <v>212</v>
      </c>
      <c r="W12" s="42" t="s">
        <v>212</v>
      </c>
      <c r="X12" s="42" t="s">
        <v>212</v>
      </c>
      <c r="Y12" s="42" t="s">
        <v>212</v>
      </c>
      <c r="Z12" s="42" t="s">
        <v>212</v>
      </c>
      <c r="AA12" s="42" t="s">
        <v>212</v>
      </c>
      <c r="AB12" s="42" t="s">
        <v>212</v>
      </c>
      <c r="AC12" s="42" t="s">
        <v>212</v>
      </c>
      <c r="AD12" s="42" t="s">
        <v>212</v>
      </c>
      <c r="AE12" s="42" t="s">
        <v>212</v>
      </c>
      <c r="AF12" s="42" t="s">
        <v>212</v>
      </c>
      <c r="AG12" s="42" t="s">
        <v>212</v>
      </c>
      <c r="AH12" s="42" t="s">
        <v>212</v>
      </c>
      <c r="AI12" s="42" t="s">
        <v>212</v>
      </c>
      <c r="AJ12" s="42" t="s">
        <v>212</v>
      </c>
      <c r="AK12" s="42" t="s">
        <v>212</v>
      </c>
      <c r="AL12" s="42" t="s">
        <v>212</v>
      </c>
      <c r="AM12" s="42" t="s">
        <v>212</v>
      </c>
      <c r="AN12" s="42" t="s">
        <v>212</v>
      </c>
      <c r="AO12" s="42" t="s">
        <v>212</v>
      </c>
      <c r="AP12" s="42" t="s">
        <v>212</v>
      </c>
      <c r="AQ12" s="42" t="s">
        <v>212</v>
      </c>
      <c r="AR12" s="42" t="s">
        <v>212</v>
      </c>
      <c r="AS12" s="42" t="s">
        <v>212</v>
      </c>
      <c r="AT12" s="42" t="s">
        <v>212</v>
      </c>
      <c r="AU12" s="42" t="s">
        <v>212</v>
      </c>
      <c r="AV12" s="42" t="s">
        <v>212</v>
      </c>
      <c r="AW12" s="42" t="s">
        <v>212</v>
      </c>
      <c r="AX12" s="42" t="s">
        <v>212</v>
      </c>
    </row>
    <row r="13" customFormat="false" ht="18.75" hidden="false" customHeight="true" outlineLevel="0" collapsed="false">
      <c r="A13" s="14" t="s">
        <v>213</v>
      </c>
      <c r="B13" s="41"/>
      <c r="C13" s="43" t="n">
        <v>10630</v>
      </c>
      <c r="D13" s="43" t="n">
        <v>10630</v>
      </c>
      <c r="E13" s="43" t="n">
        <v>10630</v>
      </c>
      <c r="F13" s="43" t="n">
        <v>10630</v>
      </c>
      <c r="G13" s="43" t="n">
        <v>11490</v>
      </c>
      <c r="H13" s="43" t="n">
        <v>12320</v>
      </c>
      <c r="I13" s="43" t="n">
        <v>11960</v>
      </c>
      <c r="J13" s="43" t="n">
        <v>14850</v>
      </c>
      <c r="K13" s="43" t="n">
        <v>19400</v>
      </c>
      <c r="L13" s="43" t="n">
        <v>20100</v>
      </c>
      <c r="M13" s="43" t="n">
        <v>10720</v>
      </c>
      <c r="N13" s="43" t="n">
        <v>13020</v>
      </c>
      <c r="O13" s="43" t="n">
        <v>14950</v>
      </c>
      <c r="P13" s="43" t="n">
        <v>19350</v>
      </c>
      <c r="Q13" s="43" t="n">
        <v>10400</v>
      </c>
      <c r="R13" s="43" t="n">
        <v>12200</v>
      </c>
      <c r="S13" s="43" t="n">
        <v>10000</v>
      </c>
      <c r="T13" s="43" t="n">
        <v>16000</v>
      </c>
      <c r="U13" s="43" t="n">
        <v>21000</v>
      </c>
      <c r="V13" s="43" t="n">
        <v>11400</v>
      </c>
      <c r="W13" s="43" t="n">
        <v>11765</v>
      </c>
      <c r="X13" s="43" t="n">
        <v>11745</v>
      </c>
      <c r="Y13" s="43" t="n">
        <v>12600</v>
      </c>
      <c r="Z13" s="43" t="n">
        <v>16430</v>
      </c>
      <c r="AA13" s="43" t="n">
        <v>18000</v>
      </c>
      <c r="AB13" s="43" t="n">
        <v>24925</v>
      </c>
      <c r="AC13" s="43" t="n">
        <v>10492</v>
      </c>
      <c r="AD13" s="43" t="n">
        <v>10900</v>
      </c>
      <c r="AE13" s="43" t="n">
        <v>11743</v>
      </c>
      <c r="AF13" s="43" t="n">
        <v>12700</v>
      </c>
      <c r="AG13" s="43" t="n">
        <v>10400</v>
      </c>
      <c r="AH13" s="43" t="n">
        <v>12000</v>
      </c>
      <c r="AI13" s="43" t="n">
        <v>14000</v>
      </c>
      <c r="AJ13" s="43" t="n">
        <v>16000</v>
      </c>
      <c r="AK13" s="43" t="n">
        <v>18000</v>
      </c>
      <c r="AL13" s="43" t="n">
        <v>20000</v>
      </c>
      <c r="AM13" s="43" t="n">
        <v>11580</v>
      </c>
      <c r="AN13" s="43" t="n">
        <v>12000</v>
      </c>
      <c r="AO13" s="43" t="n">
        <v>12400</v>
      </c>
      <c r="AP13" s="43" t="n">
        <v>16000</v>
      </c>
      <c r="AQ13" s="43" t="n">
        <v>22000</v>
      </c>
      <c r="AR13" s="43" t="n">
        <v>11560</v>
      </c>
      <c r="AS13" s="43" t="n">
        <v>11500</v>
      </c>
      <c r="AT13" s="43" t="n">
        <v>13700</v>
      </c>
      <c r="AU13" s="43" t="n">
        <v>11380</v>
      </c>
      <c r="AV13" s="43" t="n">
        <v>11490</v>
      </c>
      <c r="AW13" s="43" t="n">
        <v>10000</v>
      </c>
      <c r="AX13" s="43" t="n">
        <v>11200</v>
      </c>
    </row>
    <row r="14" customFormat="false" ht="32.25" hidden="false" customHeight="true" outlineLevel="0" collapsed="false">
      <c r="A14" s="14" t="s">
        <v>214</v>
      </c>
      <c r="B14" s="41"/>
      <c r="C14" s="42" t="s">
        <v>215</v>
      </c>
      <c r="D14" s="42" t="s">
        <v>216</v>
      </c>
      <c r="E14" s="42" t="s">
        <v>217</v>
      </c>
      <c r="F14" s="42" t="s">
        <v>218</v>
      </c>
      <c r="G14" s="42" t="s">
        <v>217</v>
      </c>
      <c r="H14" s="42" t="s">
        <v>217</v>
      </c>
      <c r="I14" s="42" t="s">
        <v>219</v>
      </c>
      <c r="J14" s="42" t="s">
        <v>220</v>
      </c>
      <c r="K14" s="42" t="s">
        <v>221</v>
      </c>
      <c r="L14" s="42" t="s">
        <v>221</v>
      </c>
      <c r="M14" s="42" t="s">
        <v>222</v>
      </c>
      <c r="N14" s="42" t="s">
        <v>222</v>
      </c>
      <c r="O14" s="42" t="s">
        <v>223</v>
      </c>
      <c r="P14" s="42" t="s">
        <v>224</v>
      </c>
      <c r="Q14" s="42" t="s">
        <v>225</v>
      </c>
      <c r="R14" s="42" t="s">
        <v>226</v>
      </c>
      <c r="S14" s="42" t="s">
        <v>227</v>
      </c>
      <c r="T14" s="42" t="s">
        <v>228</v>
      </c>
      <c r="U14" s="42" t="s">
        <v>229</v>
      </c>
      <c r="V14" s="42" t="s">
        <v>230</v>
      </c>
      <c r="W14" s="42" t="s">
        <v>231</v>
      </c>
      <c r="X14" s="42" t="s">
        <v>227</v>
      </c>
      <c r="Y14" s="42" t="s">
        <v>232</v>
      </c>
      <c r="Z14" s="42" t="s">
        <v>233</v>
      </c>
      <c r="AA14" s="42" t="s">
        <v>234</v>
      </c>
      <c r="AB14" s="42" t="s">
        <v>235</v>
      </c>
      <c r="AC14" s="42" t="s">
        <v>236</v>
      </c>
      <c r="AD14" s="42" t="s">
        <v>237</v>
      </c>
      <c r="AE14" s="42" t="s">
        <v>238</v>
      </c>
      <c r="AF14" s="42" t="s">
        <v>237</v>
      </c>
      <c r="AG14" s="42" t="s">
        <v>239</v>
      </c>
      <c r="AH14" s="42" t="s">
        <v>226</v>
      </c>
      <c r="AI14" s="42" t="s">
        <v>240</v>
      </c>
      <c r="AJ14" s="42" t="s">
        <v>240</v>
      </c>
      <c r="AK14" s="42" t="s">
        <v>240</v>
      </c>
      <c r="AL14" s="42" t="s">
        <v>228</v>
      </c>
      <c r="AM14" s="42" t="s">
        <v>227</v>
      </c>
      <c r="AN14" s="42" t="s">
        <v>241</v>
      </c>
      <c r="AO14" s="14" t="s">
        <v>242</v>
      </c>
      <c r="AP14" s="42" t="s">
        <v>228</v>
      </c>
      <c r="AQ14" s="42" t="s">
        <v>229</v>
      </c>
      <c r="AR14" s="42" t="s">
        <v>243</v>
      </c>
      <c r="AS14" s="42" t="s">
        <v>244</v>
      </c>
      <c r="AT14" s="42" t="s">
        <v>244</v>
      </c>
      <c r="AU14" s="42" t="s">
        <v>245</v>
      </c>
      <c r="AV14" s="42" t="s">
        <v>246</v>
      </c>
      <c r="AW14" s="42" t="s">
        <v>247</v>
      </c>
      <c r="AX14" s="42" t="s">
        <v>248</v>
      </c>
    </row>
    <row r="15" customFormat="false" ht="18.75" hidden="false" customHeight="true" outlineLevel="0" collapsed="false">
      <c r="A15" s="14" t="s">
        <v>249</v>
      </c>
      <c r="B15" s="41"/>
      <c r="C15" s="42" t="n">
        <v>2.1</v>
      </c>
      <c r="D15" s="42" t="n">
        <v>2.1</v>
      </c>
      <c r="E15" s="42" t="n">
        <v>2.1</v>
      </c>
      <c r="F15" s="42" t="n">
        <v>2.13</v>
      </c>
      <c r="G15" s="42" t="n">
        <v>2.13</v>
      </c>
      <c r="H15" s="42" t="n">
        <v>2.13</v>
      </c>
      <c r="I15" s="42" t="n">
        <v>2.13</v>
      </c>
      <c r="J15" s="42" t="n">
        <v>2.13</v>
      </c>
      <c r="K15" s="42" t="n">
        <v>2.13</v>
      </c>
      <c r="L15" s="42" t="n">
        <v>2.13</v>
      </c>
      <c r="M15" s="42" t="n">
        <v>2.3</v>
      </c>
      <c r="N15" s="42" t="n">
        <v>2.3</v>
      </c>
      <c r="O15" s="42" t="n">
        <v>2.13</v>
      </c>
      <c r="P15" s="42" t="n">
        <v>2.13</v>
      </c>
      <c r="Q15" s="42" t="n">
        <v>2.13</v>
      </c>
      <c r="R15" s="42" t="n">
        <v>2.13</v>
      </c>
      <c r="S15" s="42" t="n">
        <v>2.13</v>
      </c>
      <c r="T15" s="42" t="n">
        <v>2.13</v>
      </c>
      <c r="U15" s="42" t="n">
        <v>2.13</v>
      </c>
      <c r="V15" s="42" t="n">
        <v>2.13</v>
      </c>
      <c r="W15" s="42" t="n">
        <v>2.14</v>
      </c>
      <c r="X15" s="42" t="n">
        <v>2.14</v>
      </c>
      <c r="Y15" s="42" t="n">
        <v>2.13</v>
      </c>
      <c r="Z15" s="42" t="n">
        <v>2.14</v>
      </c>
      <c r="AA15" s="42" t="n">
        <v>2.14</v>
      </c>
      <c r="AB15" s="42" t="n">
        <v>2.14</v>
      </c>
      <c r="AC15" s="42" t="n">
        <v>2.13</v>
      </c>
      <c r="AD15" s="42" t="n">
        <v>2.13</v>
      </c>
      <c r="AE15" s="42" t="n">
        <v>2.13</v>
      </c>
      <c r="AF15" s="42" t="n">
        <v>2.13</v>
      </c>
      <c r="AG15" s="42" t="n">
        <v>2.13</v>
      </c>
      <c r="AH15" s="42" t="n">
        <v>2.13</v>
      </c>
      <c r="AI15" s="42" t="n">
        <v>2.13</v>
      </c>
      <c r="AJ15" s="42" t="n">
        <v>2.13</v>
      </c>
      <c r="AK15" s="42" t="n">
        <v>2.13</v>
      </c>
      <c r="AL15" s="42" t="n">
        <v>2.13</v>
      </c>
      <c r="AM15" s="42" t="n">
        <v>2.13</v>
      </c>
      <c r="AN15" s="42" t="n">
        <v>2.13</v>
      </c>
      <c r="AO15" s="42" t="n">
        <v>2.13</v>
      </c>
      <c r="AP15" s="42" t="n">
        <v>2</v>
      </c>
      <c r="AQ15" s="42" t="n">
        <v>2.13</v>
      </c>
      <c r="AR15" s="42" t="n">
        <v>2.1</v>
      </c>
      <c r="AS15" s="42" t="n">
        <v>2.13</v>
      </c>
      <c r="AT15" s="42" t="n">
        <v>2.13</v>
      </c>
      <c r="AU15" s="42" t="n">
        <v>2.16</v>
      </c>
      <c r="AV15" s="42" t="n">
        <v>2.13</v>
      </c>
      <c r="AW15" s="42" t="n">
        <v>2.1</v>
      </c>
      <c r="AX15" s="42" t="n">
        <v>2.1</v>
      </c>
    </row>
    <row r="16" customFormat="false" ht="18.75" hidden="false" customHeight="true" outlineLevel="0" collapsed="false">
      <c r="A16" s="14" t="s">
        <v>250</v>
      </c>
      <c r="B16" s="41"/>
      <c r="C16" s="42" t="n">
        <v>100</v>
      </c>
      <c r="D16" s="42" t="n">
        <v>110</v>
      </c>
      <c r="E16" s="42" t="n">
        <v>132</v>
      </c>
      <c r="F16" s="42" t="n">
        <v>140</v>
      </c>
      <c r="G16" s="42" t="n">
        <v>132</v>
      </c>
      <c r="H16" s="42" t="n">
        <v>132</v>
      </c>
      <c r="I16" s="42" t="n">
        <v>140</v>
      </c>
      <c r="J16" s="42" t="n">
        <v>162</v>
      </c>
      <c r="K16" s="42" t="n">
        <v>202</v>
      </c>
      <c r="L16" s="42" t="n">
        <v>202</v>
      </c>
      <c r="M16" s="42" t="n">
        <v>118</v>
      </c>
      <c r="N16" s="42" t="n">
        <v>131</v>
      </c>
      <c r="O16" s="42" t="n">
        <v>217</v>
      </c>
      <c r="P16" s="42" t="n">
        <v>166</v>
      </c>
      <c r="Q16" s="42" t="n">
        <v>130</v>
      </c>
      <c r="R16" s="42" t="n">
        <v>130</v>
      </c>
      <c r="S16" s="42" t="n">
        <v>130</v>
      </c>
      <c r="T16" s="42" t="n">
        <v>174</v>
      </c>
      <c r="U16" s="42" t="n">
        <v>250</v>
      </c>
      <c r="V16" s="42" t="n">
        <v>105</v>
      </c>
      <c r="W16" s="42" t="n">
        <v>135.4</v>
      </c>
      <c r="X16" s="42" t="n">
        <v>121</v>
      </c>
      <c r="Y16" s="42" t="n">
        <v>130</v>
      </c>
      <c r="Z16" s="42" t="n">
        <v>168</v>
      </c>
      <c r="AA16" s="42" t="n">
        <v>215</v>
      </c>
      <c r="AB16" s="42" t="n">
        <v>215</v>
      </c>
      <c r="AC16" s="42" t="n">
        <v>112.4</v>
      </c>
      <c r="AD16" s="42" t="n">
        <v>74</v>
      </c>
      <c r="AE16" s="42" t="n">
        <v>157.6</v>
      </c>
      <c r="AF16" s="42" t="n">
        <v>100</v>
      </c>
      <c r="AG16" s="42" t="n">
        <v>110</v>
      </c>
      <c r="AH16" s="42" t="n">
        <v>139</v>
      </c>
      <c r="AI16" s="42" t="n">
        <v>150</v>
      </c>
      <c r="AJ16" s="42" t="n">
        <v>161</v>
      </c>
      <c r="AK16" s="42" t="n">
        <v>174</v>
      </c>
      <c r="AL16" s="42" t="n">
        <v>200</v>
      </c>
      <c r="AM16" s="42" t="n">
        <v>145</v>
      </c>
      <c r="AN16" s="42" t="n">
        <v>130</v>
      </c>
      <c r="AO16" s="42" t="n">
        <v>110</v>
      </c>
      <c r="AP16" s="42" t="n">
        <v>168</v>
      </c>
      <c r="AQ16" s="42" t="n">
        <v>236</v>
      </c>
      <c r="AR16" s="42" t="n">
        <v>114</v>
      </c>
      <c r="AS16" s="42" t="n">
        <v>125</v>
      </c>
      <c r="AT16" s="42" t="n">
        <v>125</v>
      </c>
      <c r="AU16" s="42" t="n">
        <v>110</v>
      </c>
      <c r="AV16" s="42" t="n">
        <v>160</v>
      </c>
      <c r="AW16" s="42" t="n">
        <v>130.7</v>
      </c>
      <c r="AX16" s="42" t="n">
        <v>110</v>
      </c>
    </row>
    <row r="17" customFormat="false" ht="18.75" hidden="false" customHeight="true" outlineLevel="0" collapsed="false">
      <c r="A17" s="14" t="s">
        <v>251</v>
      </c>
      <c r="B17" s="41"/>
      <c r="C17" s="42" t="s">
        <v>252</v>
      </c>
      <c r="D17" s="42" t="s">
        <v>252</v>
      </c>
      <c r="E17" s="42" t="s">
        <v>252</v>
      </c>
      <c r="F17" s="42" t="s">
        <v>253</v>
      </c>
      <c r="G17" s="42" t="s">
        <v>253</v>
      </c>
      <c r="H17" s="42" t="s">
        <v>253</v>
      </c>
      <c r="I17" s="42" t="s">
        <v>254</v>
      </c>
      <c r="J17" s="42" t="s">
        <v>254</v>
      </c>
      <c r="K17" s="42" t="s">
        <v>255</v>
      </c>
      <c r="L17" s="42" t="s">
        <v>255</v>
      </c>
      <c r="M17" s="42" t="s">
        <v>256</v>
      </c>
      <c r="N17" s="42" t="s">
        <v>257</v>
      </c>
      <c r="O17" s="42" t="s">
        <v>258</v>
      </c>
      <c r="P17" s="42" t="s">
        <v>259</v>
      </c>
      <c r="Q17" s="42" t="s">
        <v>260</v>
      </c>
      <c r="R17" s="42" t="s">
        <v>261</v>
      </c>
      <c r="S17" s="42" t="s">
        <v>262</v>
      </c>
      <c r="T17" s="42" t="s">
        <v>263</v>
      </c>
      <c r="U17" s="42" t="s">
        <v>264</v>
      </c>
      <c r="V17" s="42" t="s">
        <v>212</v>
      </c>
      <c r="W17" s="42" t="s">
        <v>265</v>
      </c>
      <c r="X17" s="42" t="s">
        <v>266</v>
      </c>
      <c r="Y17" s="42" t="s">
        <v>267</v>
      </c>
      <c r="Z17" s="42" t="s">
        <v>268</v>
      </c>
      <c r="AA17" s="42" t="s">
        <v>269</v>
      </c>
      <c r="AB17" s="42" t="s">
        <v>270</v>
      </c>
      <c r="AC17" s="42" t="s">
        <v>271</v>
      </c>
      <c r="AD17" s="42" t="s">
        <v>272</v>
      </c>
      <c r="AE17" s="42" t="s">
        <v>273</v>
      </c>
      <c r="AF17" s="42" t="s">
        <v>264</v>
      </c>
      <c r="AG17" s="42" t="s">
        <v>262</v>
      </c>
      <c r="AH17" s="42" t="s">
        <v>260</v>
      </c>
      <c r="AI17" s="42" t="s">
        <v>274</v>
      </c>
      <c r="AJ17" s="42" t="s">
        <v>263</v>
      </c>
      <c r="AK17" s="42" t="s">
        <v>275</v>
      </c>
      <c r="AL17" s="42" t="s">
        <v>276</v>
      </c>
      <c r="AM17" s="42" t="s">
        <v>262</v>
      </c>
      <c r="AN17" s="42" t="s">
        <v>262</v>
      </c>
      <c r="AO17" s="42" t="s">
        <v>260</v>
      </c>
      <c r="AP17" s="42" t="s">
        <v>277</v>
      </c>
      <c r="AQ17" s="42" t="s">
        <v>278</v>
      </c>
      <c r="AR17" s="42" t="s">
        <v>279</v>
      </c>
      <c r="AS17" s="42" t="s">
        <v>274</v>
      </c>
      <c r="AT17" s="42" t="s">
        <v>276</v>
      </c>
      <c r="AU17" s="42" t="s">
        <v>279</v>
      </c>
      <c r="AV17" s="42" t="s">
        <v>280</v>
      </c>
      <c r="AW17" s="42" t="s">
        <v>260</v>
      </c>
      <c r="AX17" s="42" t="s">
        <v>279</v>
      </c>
    </row>
    <row r="18" customFormat="false" ht="18.75" hidden="false" customHeight="true" outlineLevel="0" collapsed="false">
      <c r="A18" s="14" t="s">
        <v>281</v>
      </c>
      <c r="B18" s="41"/>
      <c r="C18" s="42" t="n">
        <v>28.4</v>
      </c>
      <c r="D18" s="42" t="n">
        <v>28.4</v>
      </c>
      <c r="E18" s="42" t="n">
        <v>28.4</v>
      </c>
      <c r="F18" s="42" t="n">
        <v>26.8</v>
      </c>
      <c r="G18" s="42" t="n">
        <v>32.4</v>
      </c>
      <c r="H18" s="42" t="n">
        <v>37.1</v>
      </c>
      <c r="I18" s="42" t="n">
        <v>37</v>
      </c>
      <c r="J18" s="42" t="n">
        <v>50.2</v>
      </c>
      <c r="K18" s="42" t="n">
        <v>60.1</v>
      </c>
      <c r="L18" s="42" t="n">
        <v>61.8</v>
      </c>
      <c r="M18" s="42" t="n">
        <v>28</v>
      </c>
      <c r="N18" s="42" t="n">
        <v>34</v>
      </c>
      <c r="O18" s="42" t="n">
        <v>39.9</v>
      </c>
      <c r="P18" s="42" t="n">
        <v>51.4</v>
      </c>
      <c r="Q18" s="42" t="n">
        <v>51.4</v>
      </c>
      <c r="R18" s="42" t="n">
        <v>35</v>
      </c>
      <c r="S18" s="42" t="n">
        <v>26</v>
      </c>
      <c r="T18" s="42" t="n">
        <v>37.5</v>
      </c>
      <c r="U18" s="42" t="n">
        <v>49.3</v>
      </c>
      <c r="V18" s="42" t="n">
        <v>32</v>
      </c>
      <c r="W18" s="42" t="n">
        <v>29.81</v>
      </c>
      <c r="X18" s="42" t="n">
        <v>29.1</v>
      </c>
      <c r="Y18" s="42" t="n">
        <v>29.6</v>
      </c>
      <c r="Z18" s="42" t="n">
        <v>38.4</v>
      </c>
      <c r="AA18" s="42" t="n">
        <v>42.1</v>
      </c>
      <c r="AB18" s="42" t="n">
        <v>58.3</v>
      </c>
      <c r="AC18" s="42" t="n">
        <v>27.3</v>
      </c>
      <c r="AD18" s="42" t="n">
        <v>25.6</v>
      </c>
      <c r="AE18" s="42" t="n">
        <v>29.7</v>
      </c>
      <c r="AF18" s="42" t="n">
        <v>30</v>
      </c>
      <c r="AG18" s="42" t="n">
        <v>0</v>
      </c>
      <c r="AH18" s="42" t="n">
        <v>31.5</v>
      </c>
      <c r="AI18" s="42" t="n">
        <v>0</v>
      </c>
      <c r="AJ18" s="42" t="n">
        <v>0</v>
      </c>
      <c r="AK18" s="42" t="n">
        <v>53.9</v>
      </c>
      <c r="AL18" s="42" t="n">
        <v>0</v>
      </c>
      <c r="AM18" s="42" t="n">
        <v>0</v>
      </c>
      <c r="AN18" s="42" t="n">
        <v>0</v>
      </c>
      <c r="AO18" s="42" t="n">
        <v>33.2</v>
      </c>
      <c r="AP18" s="42" t="n">
        <v>0</v>
      </c>
      <c r="AQ18" s="42" t="n">
        <v>0</v>
      </c>
      <c r="AR18" s="42" t="n">
        <v>31.8</v>
      </c>
      <c r="AS18" s="42" t="n">
        <v>0</v>
      </c>
      <c r="AT18" s="42" t="n">
        <v>0</v>
      </c>
      <c r="AU18" s="42" t="n">
        <v>31</v>
      </c>
      <c r="AV18" s="42" t="n">
        <v>34.5</v>
      </c>
      <c r="AW18" s="42" t="n">
        <v>27.6</v>
      </c>
      <c r="AX18" s="42" t="n">
        <v>29</v>
      </c>
    </row>
    <row r="19" customFormat="false" ht="18.75" hidden="false" customHeight="true" outlineLevel="0" collapsed="false">
      <c r="A19" s="14" t="s">
        <v>282</v>
      </c>
      <c r="B19" s="41"/>
      <c r="C19" s="42" t="n">
        <v>45</v>
      </c>
      <c r="D19" s="42" t="n">
        <v>45</v>
      </c>
      <c r="E19" s="42" t="n">
        <v>45</v>
      </c>
      <c r="F19" s="42" t="n">
        <v>45</v>
      </c>
      <c r="G19" s="42" t="n">
        <v>45</v>
      </c>
      <c r="H19" s="42" t="n">
        <v>45</v>
      </c>
      <c r="I19" s="42" t="n">
        <v>45</v>
      </c>
      <c r="J19" s="42" t="s">
        <v>212</v>
      </c>
      <c r="K19" s="42" t="s">
        <v>212</v>
      </c>
      <c r="L19" s="42" t="s">
        <v>212</v>
      </c>
      <c r="M19" s="42" t="s">
        <v>212</v>
      </c>
      <c r="N19" s="42" t="s">
        <v>212</v>
      </c>
      <c r="O19" s="42" t="s">
        <v>212</v>
      </c>
      <c r="P19" s="42" t="s">
        <v>212</v>
      </c>
      <c r="Q19" s="42" t="n">
        <v>41</v>
      </c>
      <c r="R19" s="42" t="n">
        <v>46</v>
      </c>
      <c r="S19" s="42" t="s">
        <v>212</v>
      </c>
      <c r="T19" s="42" t="n">
        <v>46</v>
      </c>
      <c r="U19" s="42" t="s">
        <v>212</v>
      </c>
      <c r="V19" s="42" t="s">
        <v>212</v>
      </c>
      <c r="W19" s="42" t="n">
        <v>58</v>
      </c>
      <c r="X19" s="42" t="n">
        <v>58</v>
      </c>
      <c r="Y19" s="42" t="s">
        <v>212</v>
      </c>
      <c r="Z19" s="42" t="s">
        <v>212</v>
      </c>
      <c r="AA19" s="42" t="s">
        <v>212</v>
      </c>
      <c r="AB19" s="42" t="s">
        <v>212</v>
      </c>
      <c r="AC19" s="42" t="n">
        <v>55</v>
      </c>
      <c r="AD19" s="42" t="n">
        <v>55</v>
      </c>
      <c r="AE19" s="42" t="n">
        <v>57</v>
      </c>
      <c r="AF19" s="42" t="s">
        <v>212</v>
      </c>
      <c r="AG19" s="42" t="n">
        <v>45</v>
      </c>
      <c r="AH19" s="42" t="n">
        <v>45</v>
      </c>
      <c r="AI19" s="42" t="s">
        <v>212</v>
      </c>
      <c r="AJ19" s="42" t="s">
        <v>212</v>
      </c>
      <c r="AK19" s="42" t="s">
        <v>212</v>
      </c>
      <c r="AL19" s="42" t="s">
        <v>212</v>
      </c>
      <c r="AM19" s="42" t="s">
        <v>212</v>
      </c>
      <c r="AN19" s="42" t="s">
        <v>212</v>
      </c>
      <c r="AO19" s="42" t="n">
        <v>65</v>
      </c>
      <c r="AP19" s="42" t="s">
        <v>212</v>
      </c>
      <c r="AQ19" s="42" t="s">
        <v>212</v>
      </c>
      <c r="AR19" s="42" t="n">
        <v>55</v>
      </c>
      <c r="AS19" s="42" t="n">
        <v>55</v>
      </c>
      <c r="AT19" s="42" t="s">
        <v>212</v>
      </c>
      <c r="AU19" s="42" t="n">
        <v>40</v>
      </c>
      <c r="AV19" s="42" t="n">
        <v>60</v>
      </c>
      <c r="AW19" s="42" t="n">
        <v>45</v>
      </c>
      <c r="AX19" s="42" t="n">
        <v>36</v>
      </c>
    </row>
    <row r="20" customFormat="false" ht="18.75" hidden="false" customHeight="true" outlineLevel="0" collapsed="false">
      <c r="A20" s="14" t="s">
        <v>283</v>
      </c>
      <c r="B20" s="41"/>
      <c r="C20" s="42" t="s">
        <v>284</v>
      </c>
      <c r="D20" s="42" t="s">
        <v>284</v>
      </c>
      <c r="E20" s="42" t="s">
        <v>285</v>
      </c>
      <c r="F20" s="42" t="s">
        <v>285</v>
      </c>
      <c r="G20" s="42" t="s">
        <v>285</v>
      </c>
      <c r="H20" s="42" t="s">
        <v>285</v>
      </c>
      <c r="I20" s="42" t="s">
        <v>285</v>
      </c>
      <c r="J20" s="42" t="s">
        <v>212</v>
      </c>
      <c r="K20" s="42" t="s">
        <v>212</v>
      </c>
      <c r="L20" s="42" t="s">
        <v>212</v>
      </c>
      <c r="M20" s="42" t="s">
        <v>212</v>
      </c>
      <c r="N20" s="42" t="s">
        <v>212</v>
      </c>
      <c r="O20" s="42" t="s">
        <v>284</v>
      </c>
      <c r="P20" s="42" t="s">
        <v>212</v>
      </c>
      <c r="Q20" s="42" t="s">
        <v>286</v>
      </c>
      <c r="R20" s="42" t="s">
        <v>286</v>
      </c>
      <c r="S20" s="42" t="s">
        <v>212</v>
      </c>
      <c r="T20" s="42" t="s">
        <v>286</v>
      </c>
      <c r="U20" s="42" t="s">
        <v>212</v>
      </c>
      <c r="V20" s="42" t="s">
        <v>284</v>
      </c>
      <c r="W20" s="42" t="s">
        <v>287</v>
      </c>
      <c r="X20" s="42" t="s">
        <v>287</v>
      </c>
      <c r="Y20" s="42" t="s">
        <v>212</v>
      </c>
      <c r="Z20" s="42" t="s">
        <v>284</v>
      </c>
      <c r="AA20" s="42" t="s">
        <v>284</v>
      </c>
      <c r="AB20" s="42" t="s">
        <v>212</v>
      </c>
      <c r="AC20" s="42" t="s">
        <v>285</v>
      </c>
      <c r="AD20" s="42" t="s">
        <v>285</v>
      </c>
      <c r="AE20" s="42" t="s">
        <v>285</v>
      </c>
      <c r="AF20" s="42" t="s">
        <v>284</v>
      </c>
      <c r="AG20" s="42" t="s">
        <v>288</v>
      </c>
      <c r="AH20" s="42" t="s">
        <v>288</v>
      </c>
      <c r="AI20" s="42" t="s">
        <v>284</v>
      </c>
      <c r="AJ20" s="42" t="s">
        <v>212</v>
      </c>
      <c r="AK20" s="42" t="s">
        <v>212</v>
      </c>
      <c r="AL20" s="42" t="s">
        <v>212</v>
      </c>
      <c r="AM20" s="42" t="s">
        <v>284</v>
      </c>
      <c r="AN20" s="42" t="s">
        <v>284</v>
      </c>
      <c r="AO20" s="42" t="s">
        <v>289</v>
      </c>
      <c r="AP20" s="42" t="s">
        <v>284</v>
      </c>
      <c r="AQ20" s="42" t="s">
        <v>284</v>
      </c>
      <c r="AR20" s="42" t="s">
        <v>284</v>
      </c>
      <c r="AS20" s="42" t="s">
        <v>284</v>
      </c>
      <c r="AT20" s="42" t="s">
        <v>284</v>
      </c>
      <c r="AU20" s="42" t="s">
        <v>284</v>
      </c>
      <c r="AV20" s="42" t="s">
        <v>288</v>
      </c>
      <c r="AW20" s="42" t="s">
        <v>285</v>
      </c>
      <c r="AX20" s="42" t="s">
        <v>284</v>
      </c>
    </row>
    <row r="21" customFormat="false" ht="18.75" hidden="false" customHeight="true" outlineLevel="0" collapsed="false">
      <c r="A21" s="14" t="s">
        <v>290</v>
      </c>
      <c r="B21" s="41"/>
      <c r="C21" s="42" t="n">
        <v>60</v>
      </c>
      <c r="D21" s="42" t="n">
        <v>60</v>
      </c>
      <c r="E21" s="42" t="n">
        <v>60</v>
      </c>
      <c r="F21" s="42" t="n">
        <v>60</v>
      </c>
      <c r="G21" s="42" t="n">
        <v>60</v>
      </c>
      <c r="H21" s="42" t="n">
        <v>60</v>
      </c>
      <c r="I21" s="42" t="n">
        <v>60</v>
      </c>
      <c r="J21" s="42" t="s">
        <v>212</v>
      </c>
      <c r="K21" s="42" t="s">
        <v>212</v>
      </c>
      <c r="L21" s="42" t="s">
        <v>212</v>
      </c>
      <c r="M21" s="42" t="s">
        <v>212</v>
      </c>
      <c r="N21" s="42" t="s">
        <v>212</v>
      </c>
      <c r="O21" s="42" t="s">
        <v>212</v>
      </c>
      <c r="P21" s="42" t="s">
        <v>212</v>
      </c>
      <c r="Q21" s="42" t="n">
        <v>55</v>
      </c>
      <c r="R21" s="42" t="n">
        <v>55</v>
      </c>
      <c r="S21" s="42" t="s">
        <v>212</v>
      </c>
      <c r="T21" s="42" t="n">
        <v>55</v>
      </c>
      <c r="U21" s="42" t="s">
        <v>212</v>
      </c>
      <c r="V21" s="42" t="s">
        <v>212</v>
      </c>
      <c r="W21" s="42" t="n">
        <v>60</v>
      </c>
      <c r="X21" s="42" t="n">
        <v>60</v>
      </c>
      <c r="Y21" s="42" t="s">
        <v>212</v>
      </c>
      <c r="Z21" s="42" t="s">
        <v>212</v>
      </c>
      <c r="AA21" s="42" t="s">
        <v>212</v>
      </c>
      <c r="AB21" s="42" t="s">
        <v>212</v>
      </c>
      <c r="AC21" s="42" t="n">
        <v>60</v>
      </c>
      <c r="AD21" s="42" t="n">
        <v>60</v>
      </c>
      <c r="AE21" s="42" t="n">
        <v>60</v>
      </c>
      <c r="AF21" s="42" t="s">
        <v>212</v>
      </c>
      <c r="AG21" s="42" t="n">
        <v>50</v>
      </c>
      <c r="AH21" s="42" t="n">
        <v>50</v>
      </c>
      <c r="AI21" s="42" t="s">
        <v>212</v>
      </c>
      <c r="AJ21" s="42" t="s">
        <v>212</v>
      </c>
      <c r="AK21" s="42" t="s">
        <v>212</v>
      </c>
      <c r="AL21" s="42" t="s">
        <v>212</v>
      </c>
      <c r="AM21" s="42" t="s">
        <v>212</v>
      </c>
      <c r="AN21" s="42" t="s">
        <v>212</v>
      </c>
      <c r="AO21" s="42" t="n">
        <v>60</v>
      </c>
      <c r="AP21" s="42" t="s">
        <v>212</v>
      </c>
      <c r="AQ21" s="42" t="s">
        <v>212</v>
      </c>
      <c r="AR21" s="42" t="n">
        <v>55</v>
      </c>
      <c r="AS21" s="42" t="n">
        <v>55</v>
      </c>
      <c r="AT21" s="42" t="s">
        <v>212</v>
      </c>
      <c r="AU21" s="42" t="n">
        <v>50</v>
      </c>
      <c r="AV21" s="42" t="n">
        <v>60</v>
      </c>
      <c r="AW21" s="42" t="n">
        <v>55</v>
      </c>
      <c r="AX21" s="42" t="n">
        <v>55</v>
      </c>
    </row>
    <row r="22" customFormat="false" ht="18.75" hidden="false" customHeight="true" outlineLevel="0" collapsed="false">
      <c r="A22" s="14" t="s">
        <v>291</v>
      </c>
      <c r="B22" s="41"/>
      <c r="C22" s="42" t="s">
        <v>292</v>
      </c>
      <c r="D22" s="42" t="s">
        <v>292</v>
      </c>
      <c r="E22" s="42" t="s">
        <v>292</v>
      </c>
      <c r="F22" s="42" t="s">
        <v>292</v>
      </c>
      <c r="G22" s="42" t="s">
        <v>292</v>
      </c>
      <c r="H22" s="42" t="s">
        <v>292</v>
      </c>
      <c r="I22" s="42" t="s">
        <v>292</v>
      </c>
      <c r="J22" s="42" t="s">
        <v>212</v>
      </c>
      <c r="K22" s="42" t="s">
        <v>212</v>
      </c>
      <c r="L22" s="42" t="s">
        <v>212</v>
      </c>
      <c r="M22" s="42" t="s">
        <v>212</v>
      </c>
      <c r="N22" s="42" t="s">
        <v>212</v>
      </c>
      <c r="O22" s="42" t="s">
        <v>212</v>
      </c>
      <c r="P22" s="42" t="s">
        <v>212</v>
      </c>
      <c r="Q22" s="42" t="s">
        <v>293</v>
      </c>
      <c r="R22" s="42" t="s">
        <v>293</v>
      </c>
      <c r="S22" s="42" t="s">
        <v>212</v>
      </c>
      <c r="T22" s="42" t="s">
        <v>293</v>
      </c>
      <c r="U22" s="42" t="s">
        <v>212</v>
      </c>
      <c r="V22" s="42" t="s">
        <v>212</v>
      </c>
      <c r="W22" s="42" t="s">
        <v>294</v>
      </c>
      <c r="X22" s="42" t="s">
        <v>294</v>
      </c>
      <c r="Y22" s="42" t="s">
        <v>212</v>
      </c>
      <c r="Z22" s="42" t="s">
        <v>212</v>
      </c>
      <c r="AA22" s="42" t="s">
        <v>212</v>
      </c>
      <c r="AB22" s="42" t="s">
        <v>212</v>
      </c>
      <c r="AC22" s="42" t="s">
        <v>295</v>
      </c>
      <c r="AD22" s="42" t="s">
        <v>295</v>
      </c>
      <c r="AE22" s="42" t="s">
        <v>295</v>
      </c>
      <c r="AF22" s="42" t="s">
        <v>212</v>
      </c>
      <c r="AG22" s="42" t="s">
        <v>294</v>
      </c>
      <c r="AH22" s="42" t="s">
        <v>294</v>
      </c>
      <c r="AI22" s="42" t="s">
        <v>212</v>
      </c>
      <c r="AJ22" s="42" t="s">
        <v>212</v>
      </c>
      <c r="AK22" s="42" t="s">
        <v>212</v>
      </c>
      <c r="AL22" s="42" t="s">
        <v>212</v>
      </c>
      <c r="AM22" s="42" t="s">
        <v>212</v>
      </c>
      <c r="AN22" s="42" t="s">
        <v>212</v>
      </c>
      <c r="AO22" s="42" t="s">
        <v>296</v>
      </c>
      <c r="AP22" s="42" t="s">
        <v>212</v>
      </c>
      <c r="AQ22" s="42" t="s">
        <v>212</v>
      </c>
      <c r="AR22" s="42" t="s">
        <v>297</v>
      </c>
      <c r="AS22" s="42" t="s">
        <v>297</v>
      </c>
      <c r="AT22" s="42" t="s">
        <v>212</v>
      </c>
      <c r="AU22" s="42" t="s">
        <v>298</v>
      </c>
      <c r="AV22" s="42" t="s">
        <v>299</v>
      </c>
      <c r="AW22" s="42" t="s">
        <v>297</v>
      </c>
      <c r="AX22" s="42" t="s">
        <v>212</v>
      </c>
    </row>
    <row r="23" customFormat="false" ht="282.75" hidden="false" customHeight="true" outlineLevel="0" collapsed="false">
      <c r="A23" s="14" t="s">
        <v>300</v>
      </c>
      <c r="B23" s="41"/>
      <c r="C23" s="14" t="s">
        <v>301</v>
      </c>
      <c r="D23" s="14" t="s">
        <v>301</v>
      </c>
      <c r="E23" s="14" t="s">
        <v>301</v>
      </c>
      <c r="F23" s="14" t="s">
        <v>301</v>
      </c>
      <c r="G23" s="14" t="s">
        <v>301</v>
      </c>
      <c r="H23" s="14" t="s">
        <v>301</v>
      </c>
      <c r="I23" s="14" t="s">
        <v>301</v>
      </c>
      <c r="J23" s="14" t="s">
        <v>301</v>
      </c>
      <c r="K23" s="14" t="s">
        <v>301</v>
      </c>
      <c r="L23" s="14" t="s">
        <v>301</v>
      </c>
      <c r="M23" s="42" t="s">
        <v>302</v>
      </c>
      <c r="N23" s="42" t="s">
        <v>302</v>
      </c>
      <c r="O23" s="42" t="s">
        <v>302</v>
      </c>
      <c r="P23" s="42" t="s">
        <v>302</v>
      </c>
      <c r="Q23" s="14" t="s">
        <v>303</v>
      </c>
      <c r="R23" s="14" t="s">
        <v>303</v>
      </c>
      <c r="S23" s="42" t="s">
        <v>302</v>
      </c>
      <c r="T23" s="14" t="s">
        <v>303</v>
      </c>
      <c r="U23" s="42" t="s">
        <v>302</v>
      </c>
      <c r="V23" s="42" t="s">
        <v>302</v>
      </c>
      <c r="W23" s="14" t="s">
        <v>304</v>
      </c>
      <c r="X23" s="14" t="s">
        <v>304</v>
      </c>
      <c r="Y23" s="42" t="s">
        <v>302</v>
      </c>
      <c r="Z23" s="42" t="s">
        <v>302</v>
      </c>
      <c r="AA23" s="42" t="s">
        <v>302</v>
      </c>
      <c r="AB23" s="42" t="s">
        <v>302</v>
      </c>
      <c r="AC23" s="14" t="s">
        <v>305</v>
      </c>
      <c r="AD23" s="14" t="s">
        <v>305</v>
      </c>
      <c r="AE23" s="14" t="s">
        <v>306</v>
      </c>
      <c r="AF23" s="42" t="s">
        <v>302</v>
      </c>
      <c r="AG23" s="14" t="s">
        <v>307</v>
      </c>
      <c r="AH23" s="14" t="s">
        <v>307</v>
      </c>
      <c r="AI23" s="42" t="s">
        <v>302</v>
      </c>
      <c r="AJ23" s="42" t="s">
        <v>302</v>
      </c>
      <c r="AK23" s="42" t="s">
        <v>302</v>
      </c>
      <c r="AL23" s="42" t="s">
        <v>302</v>
      </c>
      <c r="AM23" s="42" t="s">
        <v>302</v>
      </c>
      <c r="AN23" s="42" t="s">
        <v>302</v>
      </c>
      <c r="AO23" s="14" t="s">
        <v>307</v>
      </c>
      <c r="AP23" s="42" t="s">
        <v>302</v>
      </c>
      <c r="AQ23" s="42" t="s">
        <v>302</v>
      </c>
      <c r="AR23" s="14" t="s">
        <v>308</v>
      </c>
      <c r="AS23" s="14" t="s">
        <v>308</v>
      </c>
      <c r="AT23" s="42" t="s">
        <v>302</v>
      </c>
      <c r="AU23" s="14" t="s">
        <v>307</v>
      </c>
      <c r="AV23" s="14" t="s">
        <v>309</v>
      </c>
      <c r="AW23" s="14" t="s">
        <v>307</v>
      </c>
      <c r="AX23" s="14" t="s">
        <v>307</v>
      </c>
    </row>
    <row r="24" customFormat="false" ht="18.75" hidden="false" customHeight="true" outlineLevel="0" collapsed="false">
      <c r="A24" s="14" t="s">
        <v>310</v>
      </c>
      <c r="B24" s="41"/>
      <c r="C24" s="42" t="s">
        <v>311</v>
      </c>
      <c r="D24" s="42" t="s">
        <v>311</v>
      </c>
      <c r="E24" s="42" t="s">
        <v>311</v>
      </c>
      <c r="F24" s="42" t="s">
        <v>311</v>
      </c>
      <c r="G24" s="42" t="s">
        <v>311</v>
      </c>
      <c r="H24" s="42" t="s">
        <v>311</v>
      </c>
      <c r="I24" s="42" t="s">
        <v>311</v>
      </c>
      <c r="J24" s="42" t="s">
        <v>311</v>
      </c>
      <c r="K24" s="42" t="s">
        <v>311</v>
      </c>
      <c r="L24" s="42" t="s">
        <v>311</v>
      </c>
      <c r="M24" s="42" t="s">
        <v>212</v>
      </c>
      <c r="N24" s="42" t="s">
        <v>212</v>
      </c>
      <c r="O24" s="42" t="s">
        <v>212</v>
      </c>
      <c r="P24" s="42" t="s">
        <v>212</v>
      </c>
      <c r="Q24" s="42" t="s">
        <v>312</v>
      </c>
      <c r="R24" s="42" t="s">
        <v>312</v>
      </c>
      <c r="S24" s="42" t="s">
        <v>212</v>
      </c>
      <c r="T24" s="42" t="s">
        <v>312</v>
      </c>
      <c r="U24" s="42" t="s">
        <v>212</v>
      </c>
      <c r="V24" s="42" t="s">
        <v>212</v>
      </c>
      <c r="W24" s="42" t="s">
        <v>313</v>
      </c>
      <c r="X24" s="42" t="s">
        <v>313</v>
      </c>
      <c r="Y24" s="42" t="s">
        <v>212</v>
      </c>
      <c r="Z24" s="42" t="s">
        <v>212</v>
      </c>
      <c r="AA24" s="42" t="s">
        <v>212</v>
      </c>
      <c r="AB24" s="42" t="s">
        <v>212</v>
      </c>
      <c r="AC24" s="42" t="s">
        <v>314</v>
      </c>
      <c r="AD24" s="42" t="s">
        <v>314</v>
      </c>
      <c r="AE24" s="42" t="s">
        <v>314</v>
      </c>
      <c r="AF24" s="42" t="s">
        <v>212</v>
      </c>
      <c r="AG24" s="42" t="s">
        <v>212</v>
      </c>
      <c r="AH24" s="42" t="s">
        <v>212</v>
      </c>
      <c r="AI24" s="42" t="s">
        <v>212</v>
      </c>
      <c r="AJ24" s="42" t="s">
        <v>212</v>
      </c>
      <c r="AK24" s="42" t="s">
        <v>212</v>
      </c>
      <c r="AL24" s="42" t="s">
        <v>212</v>
      </c>
      <c r="AM24" s="42" t="s">
        <v>212</v>
      </c>
      <c r="AN24" s="42" t="s">
        <v>212</v>
      </c>
      <c r="AO24" s="42" t="s">
        <v>212</v>
      </c>
      <c r="AP24" s="42" t="s">
        <v>212</v>
      </c>
      <c r="AQ24" s="42" t="s">
        <v>212</v>
      </c>
      <c r="AR24" s="42" t="s">
        <v>212</v>
      </c>
      <c r="AS24" s="42" t="s">
        <v>212</v>
      </c>
      <c r="AT24" s="42" t="s">
        <v>212</v>
      </c>
      <c r="AU24" s="42" t="s">
        <v>212</v>
      </c>
      <c r="AV24" s="42" t="s">
        <v>212</v>
      </c>
      <c r="AW24" s="42" t="s">
        <v>314</v>
      </c>
      <c r="AX24" s="42" t="s">
        <v>212</v>
      </c>
    </row>
    <row r="25" customFormat="false" ht="45" hidden="false" customHeight="true" outlineLevel="0" collapsed="false">
      <c r="A25" s="14" t="s">
        <v>315</v>
      </c>
      <c r="B25" s="41"/>
      <c r="C25" s="14" t="s">
        <v>316</v>
      </c>
      <c r="D25" s="14" t="s">
        <v>316</v>
      </c>
      <c r="E25" s="14" t="s">
        <v>316</v>
      </c>
      <c r="F25" s="14" t="s">
        <v>316</v>
      </c>
      <c r="G25" s="14" t="s">
        <v>316</v>
      </c>
      <c r="H25" s="14" t="s">
        <v>316</v>
      </c>
      <c r="I25" s="14" t="s">
        <v>316</v>
      </c>
      <c r="J25" s="14" t="s">
        <v>316</v>
      </c>
      <c r="K25" s="14" t="s">
        <v>316</v>
      </c>
      <c r="L25" s="14" t="s">
        <v>316</v>
      </c>
      <c r="M25" s="42" t="s">
        <v>212</v>
      </c>
      <c r="N25" s="42" t="s">
        <v>212</v>
      </c>
      <c r="O25" s="42" t="s">
        <v>212</v>
      </c>
      <c r="P25" s="42" t="s">
        <v>212</v>
      </c>
      <c r="Q25" s="14" t="s">
        <v>317</v>
      </c>
      <c r="R25" s="14" t="s">
        <v>317</v>
      </c>
      <c r="S25" s="42" t="s">
        <v>212</v>
      </c>
      <c r="T25" s="14" t="s">
        <v>317</v>
      </c>
      <c r="U25" s="42" t="s">
        <v>212</v>
      </c>
      <c r="V25" s="42" t="s">
        <v>212</v>
      </c>
      <c r="W25" s="14" t="s">
        <v>318</v>
      </c>
      <c r="X25" s="14" t="s">
        <v>318</v>
      </c>
      <c r="Y25" s="42" t="s">
        <v>212</v>
      </c>
      <c r="Z25" s="42" t="s">
        <v>212</v>
      </c>
      <c r="AA25" s="42" t="s">
        <v>212</v>
      </c>
      <c r="AB25" s="42" t="s">
        <v>212</v>
      </c>
      <c r="AC25" s="14" t="s">
        <v>319</v>
      </c>
      <c r="AD25" s="14" t="s">
        <v>320</v>
      </c>
      <c r="AE25" s="14" t="s">
        <v>319</v>
      </c>
      <c r="AF25" s="42" t="s">
        <v>212</v>
      </c>
      <c r="AG25" s="42" t="s">
        <v>321</v>
      </c>
      <c r="AH25" s="42" t="s">
        <v>321</v>
      </c>
      <c r="AI25" s="42" t="s">
        <v>212</v>
      </c>
      <c r="AJ25" s="42" t="s">
        <v>212</v>
      </c>
      <c r="AK25" s="42" t="s">
        <v>212</v>
      </c>
      <c r="AL25" s="42" t="s">
        <v>212</v>
      </c>
      <c r="AM25" s="42" t="s">
        <v>212</v>
      </c>
      <c r="AN25" s="42" t="s">
        <v>212</v>
      </c>
      <c r="AO25" s="14" t="s">
        <v>322</v>
      </c>
      <c r="AP25" s="42" t="s">
        <v>212</v>
      </c>
      <c r="AQ25" s="42" t="s">
        <v>212</v>
      </c>
      <c r="AR25" s="14" t="s">
        <v>323</v>
      </c>
      <c r="AS25" s="14" t="s">
        <v>323</v>
      </c>
      <c r="AT25" s="42" t="s">
        <v>212</v>
      </c>
      <c r="AU25" s="14" t="s">
        <v>324</v>
      </c>
      <c r="AV25" s="14" t="s">
        <v>325</v>
      </c>
      <c r="AW25" s="42" t="s">
        <v>314</v>
      </c>
      <c r="AX25" s="42" t="s">
        <v>212</v>
      </c>
    </row>
    <row r="26" customFormat="false" ht="19.5" hidden="false" customHeight="true" outlineLevel="0" collapsed="false">
      <c r="A26" s="21" t="s">
        <v>326</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row>
    <row r="27" customFormat="false" ht="150.75" hidden="false" customHeight="true" outlineLevel="0" collapsed="false">
      <c r="A27" s="14" t="s">
        <v>327</v>
      </c>
      <c r="B27" s="41"/>
      <c r="C27" s="14" t="s">
        <v>328</v>
      </c>
      <c r="D27" s="14" t="s">
        <v>328</v>
      </c>
      <c r="E27" s="14" t="s">
        <v>328</v>
      </c>
      <c r="F27" s="14" t="s">
        <v>328</v>
      </c>
      <c r="G27" s="14" t="s">
        <v>328</v>
      </c>
      <c r="H27" s="14" t="s">
        <v>328</v>
      </c>
      <c r="I27" s="14" t="s">
        <v>328</v>
      </c>
      <c r="J27" s="14" t="s">
        <v>328</v>
      </c>
      <c r="K27" s="14" t="s">
        <v>328</v>
      </c>
      <c r="L27" s="14" t="s">
        <v>328</v>
      </c>
      <c r="M27" s="14" t="s">
        <v>329</v>
      </c>
      <c r="N27" s="14" t="s">
        <v>330</v>
      </c>
      <c r="O27" s="14" t="s">
        <v>331</v>
      </c>
      <c r="P27" s="14" t="s">
        <v>332</v>
      </c>
      <c r="Q27" s="14" t="s">
        <v>333</v>
      </c>
      <c r="R27" s="14" t="s">
        <v>333</v>
      </c>
      <c r="S27" s="14" t="s">
        <v>334</v>
      </c>
      <c r="T27" s="14" t="s">
        <v>333</v>
      </c>
      <c r="U27" s="14" t="s">
        <v>335</v>
      </c>
      <c r="V27" s="14" t="s">
        <v>336</v>
      </c>
      <c r="W27" s="14" t="s">
        <v>337</v>
      </c>
      <c r="X27" s="14" t="s">
        <v>337</v>
      </c>
      <c r="Y27" s="14" t="s">
        <v>338</v>
      </c>
      <c r="Z27" s="14" t="s">
        <v>339</v>
      </c>
      <c r="AA27" s="14" t="s">
        <v>340</v>
      </c>
      <c r="AB27" s="14" t="s">
        <v>341</v>
      </c>
      <c r="AC27" s="14" t="s">
        <v>342</v>
      </c>
      <c r="AD27" s="14" t="s">
        <v>343</v>
      </c>
      <c r="AE27" s="14" t="s">
        <v>342</v>
      </c>
      <c r="AF27" s="14" t="s">
        <v>344</v>
      </c>
      <c r="AG27" s="14" t="s">
        <v>345</v>
      </c>
      <c r="AH27" s="14" t="s">
        <v>345</v>
      </c>
      <c r="AI27" s="14" t="s">
        <v>346</v>
      </c>
      <c r="AJ27" s="14" t="s">
        <v>347</v>
      </c>
      <c r="AK27" s="14" t="s">
        <v>348</v>
      </c>
      <c r="AL27" s="14" t="s">
        <v>349</v>
      </c>
      <c r="AM27" s="14" t="s">
        <v>350</v>
      </c>
      <c r="AN27" s="14" t="s">
        <v>351</v>
      </c>
      <c r="AO27" s="14" t="s">
        <v>352</v>
      </c>
      <c r="AP27" s="14" t="s">
        <v>353</v>
      </c>
      <c r="AQ27" s="14" t="s">
        <v>354</v>
      </c>
      <c r="AR27" s="14" t="s">
        <v>345</v>
      </c>
      <c r="AS27" s="14" t="s">
        <v>345</v>
      </c>
      <c r="AT27" s="14" t="s">
        <v>355</v>
      </c>
      <c r="AU27" s="14" t="s">
        <v>356</v>
      </c>
      <c r="AV27" s="14" t="s">
        <v>357</v>
      </c>
      <c r="AW27" s="14" t="s">
        <v>358</v>
      </c>
      <c r="AX27" s="14" t="s">
        <v>345</v>
      </c>
    </row>
    <row r="28" customFormat="false" ht="150.75" hidden="false" customHeight="true" outlineLevel="0" collapsed="false">
      <c r="A28" s="14" t="s">
        <v>359</v>
      </c>
      <c r="B28" s="41"/>
      <c r="C28" s="14" t="s">
        <v>360</v>
      </c>
      <c r="D28" s="14" t="s">
        <v>360</v>
      </c>
      <c r="E28" s="14" t="s">
        <v>360</v>
      </c>
      <c r="F28" s="14" t="s">
        <v>360</v>
      </c>
      <c r="G28" s="14" t="s">
        <v>360</v>
      </c>
      <c r="H28" s="14" t="s">
        <v>360</v>
      </c>
      <c r="I28" s="14" t="s">
        <v>360</v>
      </c>
      <c r="J28" s="14" t="s">
        <v>360</v>
      </c>
      <c r="K28" s="14" t="s">
        <v>360</v>
      </c>
      <c r="L28" s="14" t="s">
        <v>360</v>
      </c>
      <c r="M28" s="14" t="s">
        <v>361</v>
      </c>
      <c r="N28" s="14" t="s">
        <v>362</v>
      </c>
      <c r="O28" s="14" t="s">
        <v>363</v>
      </c>
      <c r="P28" s="14" t="s">
        <v>364</v>
      </c>
      <c r="Q28" s="14" t="s">
        <v>365</v>
      </c>
      <c r="R28" s="14" t="s">
        <v>365</v>
      </c>
      <c r="S28" s="14" t="s">
        <v>366</v>
      </c>
      <c r="T28" s="14" t="s">
        <v>365</v>
      </c>
      <c r="U28" s="14" t="s">
        <v>367</v>
      </c>
      <c r="V28" s="14" t="s">
        <v>368</v>
      </c>
      <c r="W28" s="14" t="s">
        <v>369</v>
      </c>
      <c r="X28" s="14" t="s">
        <v>369</v>
      </c>
      <c r="Y28" s="14" t="s">
        <v>370</v>
      </c>
      <c r="Z28" s="14" t="s">
        <v>371</v>
      </c>
      <c r="AA28" s="14" t="s">
        <v>372</v>
      </c>
      <c r="AB28" s="14" t="s">
        <v>373</v>
      </c>
      <c r="AC28" s="14" t="s">
        <v>374</v>
      </c>
      <c r="AD28" s="14" t="s">
        <v>374</v>
      </c>
      <c r="AE28" s="14" t="s">
        <v>375</v>
      </c>
      <c r="AF28" s="14" t="s">
        <v>376</v>
      </c>
      <c r="AG28" s="14" t="s">
        <v>377</v>
      </c>
      <c r="AH28" s="14" t="s">
        <v>377</v>
      </c>
      <c r="AI28" s="14" t="s">
        <v>378</v>
      </c>
      <c r="AJ28" s="14" t="s">
        <v>379</v>
      </c>
      <c r="AK28" s="14" t="s">
        <v>380</v>
      </c>
      <c r="AL28" s="14" t="s">
        <v>381</v>
      </c>
      <c r="AM28" s="14" t="s">
        <v>382</v>
      </c>
      <c r="AN28" s="14" t="s">
        <v>383</v>
      </c>
      <c r="AO28" s="14" t="s">
        <v>384</v>
      </c>
      <c r="AP28" s="14" t="s">
        <v>385</v>
      </c>
      <c r="AQ28" s="14" t="s">
        <v>386</v>
      </c>
      <c r="AR28" s="14" t="s">
        <v>387</v>
      </c>
      <c r="AS28" s="14" t="s">
        <v>387</v>
      </c>
      <c r="AT28" s="14" t="s">
        <v>388</v>
      </c>
      <c r="AU28" s="14" t="s">
        <v>389</v>
      </c>
      <c r="AV28" s="14" t="s">
        <v>390</v>
      </c>
      <c r="AW28" s="14" t="s">
        <v>391</v>
      </c>
      <c r="AX28" s="14" t="s">
        <v>392</v>
      </c>
    </row>
    <row r="29" customFormat="false" ht="58.5" hidden="false" customHeight="true" outlineLevel="0" collapsed="false">
      <c r="A29" s="14" t="s">
        <v>393</v>
      </c>
      <c r="B29" s="41"/>
      <c r="C29" s="14" t="s">
        <v>394</v>
      </c>
      <c r="D29" s="14" t="s">
        <v>394</v>
      </c>
      <c r="E29" s="14" t="s">
        <v>394</v>
      </c>
      <c r="F29" s="14" t="s">
        <v>394</v>
      </c>
      <c r="G29" s="14" t="s">
        <v>394</v>
      </c>
      <c r="H29" s="14" t="s">
        <v>394</v>
      </c>
      <c r="I29" s="14" t="s">
        <v>394</v>
      </c>
      <c r="J29" s="14" t="s">
        <v>394</v>
      </c>
      <c r="K29" s="14" t="s">
        <v>394</v>
      </c>
      <c r="L29" s="14" t="s">
        <v>394</v>
      </c>
      <c r="M29" s="42" t="s">
        <v>212</v>
      </c>
      <c r="N29" s="42" t="s">
        <v>212</v>
      </c>
      <c r="O29" s="42" t="s">
        <v>212</v>
      </c>
      <c r="P29" s="42" t="s">
        <v>212</v>
      </c>
      <c r="Q29" s="14" t="s">
        <v>395</v>
      </c>
      <c r="R29" s="14" t="s">
        <v>395</v>
      </c>
      <c r="S29" s="42" t="s">
        <v>212</v>
      </c>
      <c r="T29" s="14" t="s">
        <v>395</v>
      </c>
      <c r="U29" s="42" t="s">
        <v>212</v>
      </c>
      <c r="V29" s="42" t="s">
        <v>212</v>
      </c>
      <c r="W29" s="14" t="s">
        <v>396</v>
      </c>
      <c r="X29" s="14" t="s">
        <v>396</v>
      </c>
      <c r="Y29" s="42" t="s">
        <v>212</v>
      </c>
      <c r="Z29" s="42" t="s">
        <v>212</v>
      </c>
      <c r="AA29" s="42" t="s">
        <v>212</v>
      </c>
      <c r="AB29" s="42" t="s">
        <v>212</v>
      </c>
      <c r="AC29" s="14" t="s">
        <v>394</v>
      </c>
      <c r="AD29" s="14" t="s">
        <v>394</v>
      </c>
      <c r="AE29" s="14" t="s">
        <v>394</v>
      </c>
      <c r="AF29" s="42" t="s">
        <v>212</v>
      </c>
      <c r="AG29" s="14" t="s">
        <v>397</v>
      </c>
      <c r="AH29" s="14" t="s">
        <v>397</v>
      </c>
      <c r="AI29" s="42" t="s">
        <v>212</v>
      </c>
      <c r="AJ29" s="42" t="s">
        <v>212</v>
      </c>
      <c r="AK29" s="42" t="s">
        <v>212</v>
      </c>
      <c r="AL29" s="42" t="s">
        <v>212</v>
      </c>
      <c r="AM29" s="42" t="s">
        <v>212</v>
      </c>
      <c r="AN29" s="42" t="s">
        <v>212</v>
      </c>
      <c r="AO29" s="14" t="s">
        <v>398</v>
      </c>
      <c r="AP29" s="42" t="s">
        <v>212</v>
      </c>
      <c r="AQ29" s="42" t="s">
        <v>212</v>
      </c>
      <c r="AR29" s="42" t="s">
        <v>212</v>
      </c>
      <c r="AS29" s="42" t="s">
        <v>212</v>
      </c>
      <c r="AT29" s="42" t="s">
        <v>212</v>
      </c>
      <c r="AU29" s="14" t="s">
        <v>399</v>
      </c>
      <c r="AV29" s="14" t="s">
        <v>400</v>
      </c>
      <c r="AW29" s="42" t="s">
        <v>212</v>
      </c>
      <c r="AX29" s="42" t="s">
        <v>212</v>
      </c>
    </row>
    <row r="30" customFormat="false" ht="164.25" hidden="false" customHeight="true" outlineLevel="0" collapsed="false">
      <c r="A30" s="14" t="s">
        <v>401</v>
      </c>
      <c r="B30" s="41"/>
      <c r="C30" s="14" t="s">
        <v>402</v>
      </c>
      <c r="D30" s="14" t="s">
        <v>402</v>
      </c>
      <c r="E30" s="14" t="s">
        <v>402</v>
      </c>
      <c r="F30" s="14" t="s">
        <v>402</v>
      </c>
      <c r="G30" s="14" t="s">
        <v>402</v>
      </c>
      <c r="H30" s="14" t="s">
        <v>402</v>
      </c>
      <c r="I30" s="14" t="s">
        <v>402</v>
      </c>
      <c r="J30" s="14" t="s">
        <v>402</v>
      </c>
      <c r="K30" s="14" t="s">
        <v>402</v>
      </c>
      <c r="L30" s="14" t="s">
        <v>402</v>
      </c>
      <c r="M30" s="42" t="s">
        <v>212</v>
      </c>
      <c r="N30" s="42" t="s">
        <v>212</v>
      </c>
      <c r="O30" s="42" t="s">
        <v>212</v>
      </c>
      <c r="P30" s="42" t="s">
        <v>212</v>
      </c>
      <c r="Q30" s="14" t="s">
        <v>403</v>
      </c>
      <c r="R30" s="14" t="s">
        <v>403</v>
      </c>
      <c r="S30" s="42" t="s">
        <v>212</v>
      </c>
      <c r="T30" s="14" t="s">
        <v>403</v>
      </c>
      <c r="U30" s="42" t="s">
        <v>212</v>
      </c>
      <c r="V30" s="42" t="s">
        <v>212</v>
      </c>
      <c r="W30" s="14" t="s">
        <v>404</v>
      </c>
      <c r="X30" s="14" t="s">
        <v>404</v>
      </c>
      <c r="Y30" s="42" t="s">
        <v>212</v>
      </c>
      <c r="Z30" s="42" t="s">
        <v>212</v>
      </c>
      <c r="AA30" s="42" t="s">
        <v>212</v>
      </c>
      <c r="AB30" s="42" t="s">
        <v>212</v>
      </c>
      <c r="AC30" s="14" t="s">
        <v>405</v>
      </c>
      <c r="AD30" s="14" t="s">
        <v>405</v>
      </c>
      <c r="AE30" s="14" t="s">
        <v>405</v>
      </c>
      <c r="AF30" s="42" t="s">
        <v>212</v>
      </c>
      <c r="AG30" s="14" t="s">
        <v>406</v>
      </c>
      <c r="AH30" s="14" t="s">
        <v>406</v>
      </c>
      <c r="AI30" s="42" t="s">
        <v>212</v>
      </c>
      <c r="AJ30" s="42" t="s">
        <v>212</v>
      </c>
      <c r="AK30" s="42" t="s">
        <v>212</v>
      </c>
      <c r="AL30" s="42" t="s">
        <v>212</v>
      </c>
      <c r="AM30" s="42" t="s">
        <v>212</v>
      </c>
      <c r="AN30" s="42" t="s">
        <v>212</v>
      </c>
      <c r="AO30" s="14" t="s">
        <v>407</v>
      </c>
      <c r="AP30" s="42" t="s">
        <v>212</v>
      </c>
      <c r="AQ30" s="42" t="s">
        <v>212</v>
      </c>
      <c r="AR30" s="14" t="s">
        <v>408</v>
      </c>
      <c r="AS30" s="14" t="s">
        <v>408</v>
      </c>
      <c r="AT30" s="42" t="s">
        <v>212</v>
      </c>
      <c r="AU30" s="14" t="s">
        <v>409</v>
      </c>
      <c r="AV30" s="14" t="s">
        <v>410</v>
      </c>
      <c r="AW30" s="14" t="s">
        <v>408</v>
      </c>
      <c r="AX30" s="14" t="s">
        <v>411</v>
      </c>
    </row>
    <row r="31" customFormat="false" ht="164.25" hidden="false" customHeight="true" outlineLevel="0" collapsed="false">
      <c r="A31" s="14" t="s">
        <v>412</v>
      </c>
      <c r="B31" s="41"/>
      <c r="C31" s="14" t="s">
        <v>413</v>
      </c>
      <c r="D31" s="14" t="s">
        <v>413</v>
      </c>
      <c r="E31" s="14" t="s">
        <v>413</v>
      </c>
      <c r="F31" s="14" t="s">
        <v>413</v>
      </c>
      <c r="G31" s="14" t="s">
        <v>413</v>
      </c>
      <c r="H31" s="14" t="s">
        <v>413</v>
      </c>
      <c r="I31" s="14" t="s">
        <v>413</v>
      </c>
      <c r="J31" s="14" t="s">
        <v>413</v>
      </c>
      <c r="K31" s="14" t="s">
        <v>413</v>
      </c>
      <c r="L31" s="14" t="s">
        <v>413</v>
      </c>
      <c r="M31" s="42" t="s">
        <v>212</v>
      </c>
      <c r="N31" s="42" t="s">
        <v>212</v>
      </c>
      <c r="O31" s="42" t="s">
        <v>212</v>
      </c>
      <c r="P31" s="42" t="s">
        <v>212</v>
      </c>
      <c r="Q31" s="42" t="s">
        <v>212</v>
      </c>
      <c r="R31" s="42" t="s">
        <v>212</v>
      </c>
      <c r="S31" s="42" t="s">
        <v>212</v>
      </c>
      <c r="T31" s="42" t="s">
        <v>212</v>
      </c>
      <c r="U31" s="42" t="s">
        <v>212</v>
      </c>
      <c r="V31" s="42" t="s">
        <v>212</v>
      </c>
      <c r="W31" s="14" t="s">
        <v>414</v>
      </c>
      <c r="X31" s="14" t="s">
        <v>414</v>
      </c>
      <c r="Y31" s="42" t="s">
        <v>212</v>
      </c>
      <c r="Z31" s="42" t="s">
        <v>212</v>
      </c>
      <c r="AA31" s="42" t="s">
        <v>212</v>
      </c>
      <c r="AB31" s="42" t="s">
        <v>212</v>
      </c>
      <c r="AC31" s="14" t="s">
        <v>415</v>
      </c>
      <c r="AD31" s="14" t="s">
        <v>415</v>
      </c>
      <c r="AE31" s="14" t="s">
        <v>416</v>
      </c>
      <c r="AF31" s="42" t="s">
        <v>212</v>
      </c>
      <c r="AG31" s="42" t="s">
        <v>212</v>
      </c>
      <c r="AH31" s="42" t="s">
        <v>212</v>
      </c>
      <c r="AI31" s="42" t="s">
        <v>212</v>
      </c>
      <c r="AJ31" s="42" t="s">
        <v>212</v>
      </c>
      <c r="AK31" s="42" t="s">
        <v>212</v>
      </c>
      <c r="AL31" s="42" t="s">
        <v>212</v>
      </c>
      <c r="AM31" s="42" t="s">
        <v>212</v>
      </c>
      <c r="AN31" s="42" t="s">
        <v>212</v>
      </c>
      <c r="AO31" s="14" t="s">
        <v>417</v>
      </c>
      <c r="AP31" s="42" t="s">
        <v>212</v>
      </c>
      <c r="AQ31" s="42" t="s">
        <v>212</v>
      </c>
      <c r="AR31" s="42" t="s">
        <v>212</v>
      </c>
      <c r="AS31" s="42" t="s">
        <v>212</v>
      </c>
      <c r="AT31" s="42" t="s">
        <v>212</v>
      </c>
      <c r="AU31" s="14" t="s">
        <v>418</v>
      </c>
      <c r="AV31" s="14" t="s">
        <v>419</v>
      </c>
      <c r="AW31" s="42" t="s">
        <v>212</v>
      </c>
      <c r="AX31" s="42" t="s">
        <v>212</v>
      </c>
    </row>
    <row r="32" customFormat="false" ht="150.75" hidden="false" customHeight="true" outlineLevel="0" collapsed="false">
      <c r="A32" s="14" t="s">
        <v>420</v>
      </c>
      <c r="B32" s="41"/>
      <c r="C32" s="14" t="s">
        <v>421</v>
      </c>
      <c r="D32" s="14" t="s">
        <v>421</v>
      </c>
      <c r="E32" s="14" t="s">
        <v>421</v>
      </c>
      <c r="F32" s="14" t="s">
        <v>421</v>
      </c>
      <c r="G32" s="14" t="s">
        <v>421</v>
      </c>
      <c r="H32" s="14" t="s">
        <v>421</v>
      </c>
      <c r="I32" s="14" t="s">
        <v>421</v>
      </c>
      <c r="J32" s="14" t="s">
        <v>421</v>
      </c>
      <c r="K32" s="14" t="s">
        <v>421</v>
      </c>
      <c r="L32" s="14" t="s">
        <v>421</v>
      </c>
      <c r="M32" s="42" t="s">
        <v>212</v>
      </c>
      <c r="N32" s="42" t="s">
        <v>212</v>
      </c>
      <c r="O32" s="42" t="s">
        <v>212</v>
      </c>
      <c r="P32" s="42" t="s">
        <v>212</v>
      </c>
      <c r="Q32" s="14" t="s">
        <v>422</v>
      </c>
      <c r="R32" s="14" t="s">
        <v>422</v>
      </c>
      <c r="S32" s="42" t="s">
        <v>212</v>
      </c>
      <c r="T32" s="14" t="s">
        <v>422</v>
      </c>
      <c r="U32" s="42" t="s">
        <v>212</v>
      </c>
      <c r="V32" s="42" t="s">
        <v>212</v>
      </c>
      <c r="W32" s="14" t="s">
        <v>423</v>
      </c>
      <c r="X32" s="14" t="s">
        <v>423</v>
      </c>
      <c r="Y32" s="42" t="s">
        <v>212</v>
      </c>
      <c r="Z32" s="42" t="s">
        <v>212</v>
      </c>
      <c r="AA32" s="42" t="s">
        <v>212</v>
      </c>
      <c r="AB32" s="42" t="s">
        <v>212</v>
      </c>
      <c r="AC32" s="14" t="s">
        <v>424</v>
      </c>
      <c r="AD32" s="14" t="s">
        <v>424</v>
      </c>
      <c r="AE32" s="14" t="s">
        <v>424</v>
      </c>
      <c r="AF32" s="42" t="s">
        <v>212</v>
      </c>
      <c r="AG32" s="14" t="s">
        <v>425</v>
      </c>
      <c r="AH32" s="14" t="s">
        <v>425</v>
      </c>
      <c r="AI32" s="42" t="s">
        <v>212</v>
      </c>
      <c r="AJ32" s="42" t="s">
        <v>212</v>
      </c>
      <c r="AK32" s="42" t="s">
        <v>212</v>
      </c>
      <c r="AL32" s="42" t="s">
        <v>212</v>
      </c>
      <c r="AM32" s="42" t="s">
        <v>212</v>
      </c>
      <c r="AN32" s="42" t="s">
        <v>212</v>
      </c>
      <c r="AO32" s="14" t="s">
        <v>426</v>
      </c>
      <c r="AP32" s="42" t="s">
        <v>212</v>
      </c>
      <c r="AQ32" s="42" t="s">
        <v>212</v>
      </c>
      <c r="AR32" s="14" t="s">
        <v>427</v>
      </c>
      <c r="AS32" s="14" t="s">
        <v>427</v>
      </c>
      <c r="AT32" s="42" t="s">
        <v>212</v>
      </c>
      <c r="AU32" s="14" t="s">
        <v>428</v>
      </c>
      <c r="AV32" s="14" t="s">
        <v>429</v>
      </c>
      <c r="AW32" s="14" t="s">
        <v>430</v>
      </c>
      <c r="AX32" s="14" t="s">
        <v>431</v>
      </c>
    </row>
    <row r="33" customFormat="false" ht="19.5" hidden="false" customHeight="true" outlineLevel="0" collapsed="false">
      <c r="A33" s="21" t="s">
        <v>432</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row>
    <row r="34" customFormat="false" ht="18.75" hidden="false" customHeight="true" outlineLevel="0" collapsed="false">
      <c r="A34" s="14" t="s">
        <v>433</v>
      </c>
      <c r="B34" s="41" t="s">
        <v>67</v>
      </c>
      <c r="C34" s="44" t="n">
        <v>57592.78</v>
      </c>
      <c r="D34" s="44" t="n">
        <v>59374</v>
      </c>
      <c r="E34" s="44" t="n">
        <v>63530.18</v>
      </c>
      <c r="F34" s="44" t="n">
        <v>66500</v>
      </c>
      <c r="G34" s="44" t="n">
        <v>68684</v>
      </c>
      <c r="H34" s="44" t="n">
        <v>72948</v>
      </c>
      <c r="I34" s="44" t="n">
        <v>72948</v>
      </c>
      <c r="J34" s="44" t="n">
        <v>0</v>
      </c>
      <c r="K34" s="44" t="n">
        <v>0</v>
      </c>
      <c r="L34" s="44" t="n">
        <v>0</v>
      </c>
      <c r="M34" s="44" t="n">
        <v>0</v>
      </c>
      <c r="N34" s="44" t="n">
        <v>0</v>
      </c>
      <c r="O34" s="44" t="n">
        <v>0</v>
      </c>
      <c r="P34" s="44" t="n">
        <v>0</v>
      </c>
      <c r="Q34" s="44" t="n">
        <v>90000</v>
      </c>
      <c r="R34" s="44" t="n">
        <v>90000</v>
      </c>
      <c r="S34" s="44" t="n">
        <v>0</v>
      </c>
      <c r="T34" s="44" t="n">
        <v>90000</v>
      </c>
      <c r="U34" s="44" t="n">
        <v>0</v>
      </c>
      <c r="V34" s="44" t="n">
        <v>0</v>
      </c>
      <c r="W34" s="44" t="n">
        <v>91845.1</v>
      </c>
      <c r="X34" s="44" t="n">
        <v>91845.1</v>
      </c>
      <c r="Y34" s="44" t="n">
        <v>0</v>
      </c>
      <c r="Z34" s="44" t="n">
        <v>0</v>
      </c>
      <c r="AA34" s="44" t="n">
        <v>0</v>
      </c>
      <c r="AB34" s="44" t="n">
        <v>0</v>
      </c>
      <c r="AC34" s="44" t="n">
        <v>105298.85</v>
      </c>
      <c r="AD34" s="44" t="n">
        <v>105298.85</v>
      </c>
      <c r="AE34" s="44" t="n">
        <v>105298.85</v>
      </c>
      <c r="AF34" s="44" t="n">
        <v>0</v>
      </c>
      <c r="AG34" s="44" t="n">
        <v>54786</v>
      </c>
      <c r="AH34" s="44" t="n">
        <v>54786</v>
      </c>
      <c r="AI34" s="44" t="n">
        <v>0</v>
      </c>
      <c r="AJ34" s="44" t="n">
        <v>0</v>
      </c>
      <c r="AK34" s="44" t="n">
        <v>0</v>
      </c>
      <c r="AL34" s="44" t="n">
        <v>0</v>
      </c>
      <c r="AM34" s="44" t="n">
        <v>0</v>
      </c>
      <c r="AN34" s="44" t="n">
        <v>0</v>
      </c>
      <c r="AO34" s="44" t="n">
        <v>56392</v>
      </c>
      <c r="AP34" s="44" t="n">
        <v>0</v>
      </c>
      <c r="AQ34" s="44" t="n">
        <v>0</v>
      </c>
      <c r="AR34" s="44" t="n">
        <v>84076</v>
      </c>
      <c r="AS34" s="44" t="n">
        <v>84076</v>
      </c>
      <c r="AT34" s="44" t="n">
        <v>0</v>
      </c>
      <c r="AU34" s="44" t="n">
        <v>71600</v>
      </c>
      <c r="AV34" s="44" t="n">
        <v>89930</v>
      </c>
      <c r="AW34" s="44" t="n">
        <v>84076</v>
      </c>
      <c r="AX34" s="44" t="n">
        <v>84076</v>
      </c>
    </row>
    <row r="35" customFormat="false" ht="18.75" hidden="false" customHeight="true" outlineLevel="0" collapsed="false">
      <c r="A35" s="14" t="s">
        <v>434</v>
      </c>
      <c r="B35" s="41" t="s">
        <v>435</v>
      </c>
      <c r="C35" s="45" t="n">
        <v>11.8</v>
      </c>
      <c r="D35" s="45" t="n">
        <v>11.8</v>
      </c>
      <c r="E35" s="45" t="n">
        <v>12.4</v>
      </c>
      <c r="F35" s="45" t="n">
        <v>12.4</v>
      </c>
      <c r="G35" s="45" t="n">
        <v>12.4</v>
      </c>
      <c r="H35" s="45" t="n">
        <v>12.4</v>
      </c>
      <c r="I35" s="45" t="n">
        <v>12.4</v>
      </c>
      <c r="J35" s="45" t="n">
        <v>0</v>
      </c>
      <c r="K35" s="45" t="n">
        <v>0</v>
      </c>
      <c r="L35" s="45" t="n">
        <v>0</v>
      </c>
      <c r="M35" s="45" t="n">
        <v>0</v>
      </c>
      <c r="N35" s="45" t="n">
        <v>0</v>
      </c>
      <c r="O35" s="45" t="n">
        <v>0</v>
      </c>
      <c r="P35" s="45" t="n">
        <v>0</v>
      </c>
      <c r="Q35" s="45" t="n">
        <v>13.6</v>
      </c>
      <c r="R35" s="45" t="n">
        <v>13.6</v>
      </c>
      <c r="S35" s="45" t="n">
        <v>0</v>
      </c>
      <c r="T35" s="45" t="n">
        <v>13.6</v>
      </c>
      <c r="U35" s="45" t="n">
        <v>0</v>
      </c>
      <c r="V35" s="45" t="n">
        <v>0</v>
      </c>
      <c r="W35" s="45" t="n">
        <v>13.6</v>
      </c>
      <c r="X35" s="45" t="n">
        <v>13.6</v>
      </c>
      <c r="Y35" s="45" t="n">
        <v>0</v>
      </c>
      <c r="Z35" s="45" t="n">
        <v>0</v>
      </c>
      <c r="AA35" s="45" t="n">
        <v>0</v>
      </c>
      <c r="AB35" s="45" t="n">
        <v>0</v>
      </c>
      <c r="AC35" s="45" t="n">
        <v>14.5</v>
      </c>
      <c r="AD35" s="45" t="n">
        <v>14.5</v>
      </c>
      <c r="AE35" s="45" t="n">
        <v>14.5</v>
      </c>
      <c r="AF35" s="45" t="n">
        <v>0</v>
      </c>
      <c r="AG35" s="45" t="n">
        <v>13.6</v>
      </c>
      <c r="AH35" s="45" t="n">
        <v>13.6</v>
      </c>
      <c r="AI35" s="45" t="n">
        <v>0</v>
      </c>
      <c r="AJ35" s="45" t="n">
        <v>0</v>
      </c>
      <c r="AK35" s="45" t="n">
        <v>0</v>
      </c>
      <c r="AL35" s="45" t="n">
        <v>0</v>
      </c>
      <c r="AM35" s="45" t="n">
        <v>0</v>
      </c>
      <c r="AN35" s="45" t="n">
        <v>0</v>
      </c>
      <c r="AO35" s="45" t="n">
        <v>15.3</v>
      </c>
      <c r="AP35" s="45" t="n">
        <v>0</v>
      </c>
      <c r="AQ35" s="45" t="n">
        <v>0</v>
      </c>
      <c r="AR35" s="45" t="n">
        <v>13</v>
      </c>
      <c r="AS35" s="45" t="n">
        <v>13</v>
      </c>
      <c r="AT35" s="45" t="n">
        <v>0</v>
      </c>
      <c r="AU35" s="45" t="n">
        <v>10.5</v>
      </c>
      <c r="AV35" s="45" t="n">
        <v>16.3</v>
      </c>
      <c r="AW35" s="45" t="n">
        <v>13</v>
      </c>
      <c r="AX35" s="45" t="n">
        <v>13</v>
      </c>
    </row>
    <row r="36" customFormat="false" ht="18.75" hidden="false" customHeight="true" outlineLevel="0" collapsed="false">
      <c r="A36" s="14" t="s">
        <v>436</v>
      </c>
      <c r="B36" s="41" t="s">
        <v>437</v>
      </c>
      <c r="C36" s="46" t="n">
        <v>1</v>
      </c>
      <c r="D36" s="46" t="n">
        <v>1</v>
      </c>
      <c r="E36" s="46" t="n">
        <v>1</v>
      </c>
      <c r="F36" s="46" t="n">
        <v>1</v>
      </c>
      <c r="G36" s="46" t="n">
        <v>1</v>
      </c>
      <c r="H36" s="46" t="n">
        <v>1</v>
      </c>
      <c r="I36" s="46" t="n">
        <v>1</v>
      </c>
      <c r="J36" s="46" t="n">
        <v>1</v>
      </c>
      <c r="K36" s="46" t="n">
        <v>1</v>
      </c>
      <c r="L36" s="46" t="n">
        <v>1</v>
      </c>
      <c r="M36" s="46" t="n">
        <v>1</v>
      </c>
      <c r="N36" s="46" t="n">
        <v>1</v>
      </c>
      <c r="O36" s="46" t="n">
        <v>1</v>
      </c>
      <c r="P36" s="46" t="n">
        <v>1</v>
      </c>
      <c r="Q36" s="46" t="n">
        <v>1</v>
      </c>
      <c r="R36" s="46" t="n">
        <v>1</v>
      </c>
      <c r="S36" s="46" t="n">
        <v>1</v>
      </c>
      <c r="T36" s="46" t="n">
        <v>1</v>
      </c>
      <c r="U36" s="46" t="n">
        <v>1</v>
      </c>
      <c r="V36" s="46" t="n">
        <v>1</v>
      </c>
      <c r="W36" s="46" t="n">
        <v>1</v>
      </c>
      <c r="X36" s="46" t="n">
        <v>1</v>
      </c>
      <c r="Y36" s="46" t="n">
        <v>1</v>
      </c>
      <c r="Z36" s="46" t="n">
        <v>1</v>
      </c>
      <c r="AA36" s="46" t="n">
        <v>1</v>
      </c>
      <c r="AB36" s="46" t="n">
        <v>1</v>
      </c>
      <c r="AC36" s="46" t="n">
        <v>1</v>
      </c>
      <c r="AD36" s="46" t="n">
        <v>1</v>
      </c>
      <c r="AE36" s="46" t="n">
        <v>1</v>
      </c>
      <c r="AF36" s="46" t="n">
        <v>1</v>
      </c>
      <c r="AG36" s="46" t="n">
        <v>1</v>
      </c>
      <c r="AH36" s="46" t="n">
        <v>1</v>
      </c>
      <c r="AI36" s="46" t="n">
        <v>1</v>
      </c>
      <c r="AJ36" s="46" t="n">
        <v>1</v>
      </c>
      <c r="AK36" s="46" t="n">
        <v>1</v>
      </c>
      <c r="AL36" s="46" t="n">
        <v>1</v>
      </c>
      <c r="AM36" s="46" t="n">
        <v>1</v>
      </c>
      <c r="AN36" s="46" t="n">
        <v>1</v>
      </c>
      <c r="AO36" s="46" t="n">
        <v>1</v>
      </c>
      <c r="AP36" s="46" t="n">
        <v>1</v>
      </c>
      <c r="AQ36" s="46" t="n">
        <v>1</v>
      </c>
      <c r="AR36" s="46" t="n">
        <v>1</v>
      </c>
      <c r="AS36" s="46" t="n">
        <v>1</v>
      </c>
      <c r="AT36" s="46" t="n">
        <v>1</v>
      </c>
      <c r="AU36" s="46" t="n">
        <v>1</v>
      </c>
      <c r="AV36" s="46" t="n">
        <v>1</v>
      </c>
      <c r="AW36" s="46" t="n">
        <v>1</v>
      </c>
      <c r="AX36" s="46" t="n">
        <v>1</v>
      </c>
    </row>
    <row r="37" customFormat="false" ht="18.75" hidden="false" customHeight="true" outlineLevel="0" collapsed="false">
      <c r="A37" s="14" t="s">
        <v>438</v>
      </c>
      <c r="B37" s="41" t="s">
        <v>437</v>
      </c>
      <c r="C37" s="46" t="n">
        <v>2</v>
      </c>
      <c r="D37" s="46" t="n">
        <v>2</v>
      </c>
      <c r="E37" s="46" t="n">
        <v>2</v>
      </c>
      <c r="F37" s="46" t="n">
        <v>2</v>
      </c>
      <c r="G37" s="46" t="n">
        <v>2</v>
      </c>
      <c r="H37" s="46" t="n">
        <v>2</v>
      </c>
      <c r="I37" s="46" t="n">
        <v>2</v>
      </c>
      <c r="J37" s="46" t="n">
        <v>2</v>
      </c>
      <c r="K37" s="46" t="n">
        <v>2</v>
      </c>
      <c r="L37" s="46" t="n">
        <v>2</v>
      </c>
      <c r="M37" s="46" t="n">
        <v>2</v>
      </c>
      <c r="N37" s="46" t="n">
        <v>2</v>
      </c>
      <c r="O37" s="46" t="n">
        <v>2</v>
      </c>
      <c r="P37" s="46" t="n">
        <v>2</v>
      </c>
      <c r="Q37" s="46" t="n">
        <v>2</v>
      </c>
      <c r="R37" s="46" t="n">
        <v>2</v>
      </c>
      <c r="S37" s="46" t="n">
        <v>2</v>
      </c>
      <c r="T37" s="46" t="n">
        <v>2</v>
      </c>
      <c r="U37" s="46" t="n">
        <v>2</v>
      </c>
      <c r="V37" s="46" t="n">
        <v>2</v>
      </c>
      <c r="W37" s="46" t="n">
        <v>2</v>
      </c>
      <c r="X37" s="46" t="n">
        <v>2</v>
      </c>
      <c r="Y37" s="46" t="n">
        <v>2</v>
      </c>
      <c r="Z37" s="46" t="n">
        <v>2</v>
      </c>
      <c r="AA37" s="46" t="n">
        <v>2</v>
      </c>
      <c r="AB37" s="46" t="n">
        <v>2</v>
      </c>
      <c r="AC37" s="46" t="n">
        <v>2</v>
      </c>
      <c r="AD37" s="46" t="n">
        <v>2</v>
      </c>
      <c r="AE37" s="46" t="n">
        <v>2</v>
      </c>
      <c r="AF37" s="46" t="n">
        <v>2</v>
      </c>
      <c r="AG37" s="46" t="n">
        <v>2</v>
      </c>
      <c r="AH37" s="46" t="n">
        <v>2</v>
      </c>
      <c r="AI37" s="46" t="n">
        <v>2</v>
      </c>
      <c r="AJ37" s="46" t="n">
        <v>2</v>
      </c>
      <c r="AK37" s="46" t="n">
        <v>2</v>
      </c>
      <c r="AL37" s="46" t="n">
        <v>2</v>
      </c>
      <c r="AM37" s="46" t="n">
        <v>2</v>
      </c>
      <c r="AN37" s="46" t="n">
        <v>2</v>
      </c>
      <c r="AO37" s="46" t="n">
        <v>2</v>
      </c>
      <c r="AP37" s="46" t="n">
        <v>2</v>
      </c>
      <c r="AQ37" s="46" t="n">
        <v>2</v>
      </c>
      <c r="AR37" s="46" t="n">
        <v>2</v>
      </c>
      <c r="AS37" s="46" t="n">
        <v>2</v>
      </c>
      <c r="AT37" s="46" t="n">
        <v>2</v>
      </c>
      <c r="AU37" s="46" t="n">
        <v>2</v>
      </c>
      <c r="AV37" s="46" t="n">
        <v>2</v>
      </c>
      <c r="AW37" s="46" t="n">
        <v>2</v>
      </c>
      <c r="AX37" s="46" t="n">
        <v>2</v>
      </c>
    </row>
    <row r="38" customFormat="false" ht="18.75" hidden="false" customHeight="true" outlineLevel="0" collapsed="false">
      <c r="A38" s="14" t="s">
        <v>439</v>
      </c>
      <c r="B38" s="41" t="s">
        <v>67</v>
      </c>
      <c r="C38" s="44" t="n">
        <v>0</v>
      </c>
      <c r="D38" s="44" t="n">
        <v>0</v>
      </c>
      <c r="E38" s="44" t="n">
        <v>0</v>
      </c>
      <c r="F38" s="44" t="n">
        <v>0</v>
      </c>
      <c r="G38" s="44" t="n">
        <v>0</v>
      </c>
      <c r="H38" s="44" t="n">
        <v>0</v>
      </c>
      <c r="I38" s="44" t="n">
        <v>0</v>
      </c>
      <c r="J38" s="44" t="n">
        <v>0</v>
      </c>
      <c r="K38" s="44" t="n">
        <v>0</v>
      </c>
      <c r="L38" s="44" t="n">
        <v>0</v>
      </c>
      <c r="M38" s="44" t="n">
        <v>0</v>
      </c>
      <c r="N38" s="44" t="n">
        <v>0</v>
      </c>
      <c r="O38" s="44" t="n">
        <v>0</v>
      </c>
      <c r="P38" s="44" t="n">
        <v>0</v>
      </c>
      <c r="Q38" s="44" t="n">
        <v>0</v>
      </c>
      <c r="R38" s="44" t="n">
        <v>0</v>
      </c>
      <c r="S38" s="44" t="n">
        <v>0</v>
      </c>
      <c r="T38" s="44" t="n">
        <v>0</v>
      </c>
      <c r="U38" s="44" t="n">
        <v>0</v>
      </c>
      <c r="V38" s="44" t="n">
        <v>0</v>
      </c>
      <c r="W38" s="44" t="n">
        <v>0</v>
      </c>
      <c r="X38" s="44" t="n">
        <v>0</v>
      </c>
      <c r="Y38" s="44" t="n">
        <v>0</v>
      </c>
      <c r="Z38" s="44" t="n">
        <v>0</v>
      </c>
      <c r="AA38" s="44" t="n">
        <v>0</v>
      </c>
      <c r="AB38" s="44" t="n">
        <v>0</v>
      </c>
      <c r="AC38" s="44" t="n">
        <v>0</v>
      </c>
      <c r="AD38" s="44" t="n">
        <v>0</v>
      </c>
      <c r="AE38" s="44" t="n">
        <v>0</v>
      </c>
      <c r="AF38" s="44" t="n">
        <v>0</v>
      </c>
      <c r="AG38" s="44" t="n">
        <v>0</v>
      </c>
      <c r="AH38" s="44" t="n">
        <v>0</v>
      </c>
      <c r="AI38" s="44" t="n">
        <v>0</v>
      </c>
      <c r="AJ38" s="44" t="n">
        <v>0</v>
      </c>
      <c r="AK38" s="44" t="n">
        <v>0</v>
      </c>
      <c r="AL38" s="44" t="n">
        <v>0</v>
      </c>
      <c r="AM38" s="44" t="n">
        <v>0</v>
      </c>
      <c r="AN38" s="44" t="n">
        <v>0</v>
      </c>
      <c r="AO38" s="44" t="n">
        <v>0</v>
      </c>
      <c r="AP38" s="44" t="n">
        <v>0</v>
      </c>
      <c r="AQ38" s="44" t="n">
        <v>0</v>
      </c>
      <c r="AR38" s="44" t="n">
        <v>0</v>
      </c>
      <c r="AS38" s="44" t="n">
        <v>0</v>
      </c>
      <c r="AT38" s="44" t="n">
        <v>0</v>
      </c>
      <c r="AU38" s="44" t="n">
        <v>0</v>
      </c>
      <c r="AV38" s="44" t="n">
        <v>0</v>
      </c>
      <c r="AW38" s="44" t="n">
        <v>0</v>
      </c>
      <c r="AX38" s="44" t="n">
        <v>0</v>
      </c>
    </row>
    <row r="39" customFormat="false" ht="18.75" hidden="false" customHeight="true" outlineLevel="0" collapsed="false">
      <c r="A39" s="14" t="s">
        <v>394</v>
      </c>
      <c r="B39" s="41" t="s">
        <v>440</v>
      </c>
      <c r="C39" s="47" t="s">
        <v>441</v>
      </c>
      <c r="D39" s="47" t="s">
        <v>441</v>
      </c>
      <c r="E39" s="47" t="s">
        <v>441</v>
      </c>
      <c r="F39" s="47" t="s">
        <v>441</v>
      </c>
      <c r="G39" s="47" t="s">
        <v>441</v>
      </c>
      <c r="H39" s="47" t="s">
        <v>441</v>
      </c>
      <c r="I39" s="47" t="s">
        <v>441</v>
      </c>
      <c r="J39" s="47" t="s">
        <v>441</v>
      </c>
      <c r="K39" s="47" t="s">
        <v>441</v>
      </c>
      <c r="L39" s="47" t="s">
        <v>441</v>
      </c>
      <c r="M39" s="47" t="s">
        <v>442</v>
      </c>
      <c r="N39" s="47" t="s">
        <v>442</v>
      </c>
      <c r="O39" s="47" t="s">
        <v>442</v>
      </c>
      <c r="P39" s="47" t="s">
        <v>442</v>
      </c>
      <c r="Q39" s="47" t="s">
        <v>442</v>
      </c>
      <c r="R39" s="47" t="s">
        <v>442</v>
      </c>
      <c r="S39" s="47" t="s">
        <v>442</v>
      </c>
      <c r="T39" s="47" t="s">
        <v>442</v>
      </c>
      <c r="U39" s="47" t="s">
        <v>442</v>
      </c>
      <c r="V39" s="47" t="s">
        <v>442</v>
      </c>
      <c r="W39" s="47" t="s">
        <v>442</v>
      </c>
      <c r="X39" s="47" t="s">
        <v>442</v>
      </c>
      <c r="Y39" s="47" t="s">
        <v>442</v>
      </c>
      <c r="Z39" s="47" t="s">
        <v>442</v>
      </c>
      <c r="AA39" s="47" t="s">
        <v>442</v>
      </c>
      <c r="AB39" s="47" t="s">
        <v>442</v>
      </c>
      <c r="AC39" s="47" t="s">
        <v>442</v>
      </c>
      <c r="AD39" s="47" t="s">
        <v>442</v>
      </c>
      <c r="AE39" s="47" t="s">
        <v>442</v>
      </c>
      <c r="AF39" s="47" t="s">
        <v>442</v>
      </c>
      <c r="AG39" s="47" t="s">
        <v>442</v>
      </c>
      <c r="AH39" s="47" t="s">
        <v>442</v>
      </c>
      <c r="AI39" s="47" t="s">
        <v>442</v>
      </c>
      <c r="AJ39" s="47" t="s">
        <v>442</v>
      </c>
      <c r="AK39" s="47" t="s">
        <v>442</v>
      </c>
      <c r="AL39" s="47" t="s">
        <v>442</v>
      </c>
      <c r="AM39" s="47" t="s">
        <v>442</v>
      </c>
      <c r="AN39" s="47" t="s">
        <v>442</v>
      </c>
      <c r="AO39" s="47" t="s">
        <v>442</v>
      </c>
      <c r="AP39" s="47" t="s">
        <v>442</v>
      </c>
      <c r="AQ39" s="47" t="s">
        <v>442</v>
      </c>
      <c r="AR39" s="47" t="s">
        <v>442</v>
      </c>
      <c r="AS39" s="47" t="s">
        <v>442</v>
      </c>
      <c r="AT39" s="47" t="s">
        <v>442</v>
      </c>
      <c r="AU39" s="47" t="s">
        <v>442</v>
      </c>
      <c r="AV39" s="47" t="s">
        <v>442</v>
      </c>
      <c r="AW39" s="47" t="s">
        <v>442</v>
      </c>
      <c r="AX39" s="47" t="s">
        <v>442</v>
      </c>
    </row>
    <row r="40" customFormat="false" ht="32.25" hidden="false" customHeight="true" outlineLevel="0" collapsed="false">
      <c r="A40" s="14" t="s">
        <v>443</v>
      </c>
      <c r="B40" s="41" t="s">
        <v>440</v>
      </c>
      <c r="C40" s="47" t="s">
        <v>442</v>
      </c>
      <c r="D40" s="47" t="s">
        <v>442</v>
      </c>
      <c r="E40" s="47" t="s">
        <v>442</v>
      </c>
      <c r="F40" s="47" t="s">
        <v>442</v>
      </c>
      <c r="G40" s="47" t="s">
        <v>442</v>
      </c>
      <c r="H40" s="47" t="s">
        <v>442</v>
      </c>
      <c r="I40" s="47" t="s">
        <v>442</v>
      </c>
      <c r="J40" s="47" t="s">
        <v>442</v>
      </c>
      <c r="K40" s="47" t="s">
        <v>442</v>
      </c>
      <c r="L40" s="47" t="s">
        <v>442</v>
      </c>
      <c r="M40" s="47" t="s">
        <v>212</v>
      </c>
      <c r="N40" s="47" t="s">
        <v>212</v>
      </c>
      <c r="O40" s="47" t="s">
        <v>212</v>
      </c>
      <c r="P40" s="47" t="s">
        <v>212</v>
      </c>
      <c r="Q40" s="47" t="s">
        <v>212</v>
      </c>
      <c r="R40" s="47" t="s">
        <v>212</v>
      </c>
      <c r="S40" s="47" t="s">
        <v>212</v>
      </c>
      <c r="T40" s="47" t="s">
        <v>212</v>
      </c>
      <c r="U40" s="47" t="s">
        <v>212</v>
      </c>
      <c r="V40" s="47" t="s">
        <v>212</v>
      </c>
      <c r="W40" s="47" t="s">
        <v>212</v>
      </c>
      <c r="X40" s="47" t="s">
        <v>212</v>
      </c>
      <c r="Y40" s="47" t="s">
        <v>212</v>
      </c>
      <c r="Z40" s="47" t="s">
        <v>212</v>
      </c>
      <c r="AA40" s="47" t="s">
        <v>212</v>
      </c>
      <c r="AB40" s="47" t="s">
        <v>212</v>
      </c>
      <c r="AC40" s="47" t="s">
        <v>212</v>
      </c>
      <c r="AD40" s="47" t="s">
        <v>212</v>
      </c>
      <c r="AE40" s="47" t="s">
        <v>212</v>
      </c>
      <c r="AF40" s="47" t="s">
        <v>212</v>
      </c>
      <c r="AG40" s="47" t="s">
        <v>212</v>
      </c>
      <c r="AH40" s="47" t="s">
        <v>212</v>
      </c>
      <c r="AI40" s="47" t="s">
        <v>212</v>
      </c>
      <c r="AJ40" s="47" t="s">
        <v>212</v>
      </c>
      <c r="AK40" s="47" t="s">
        <v>212</v>
      </c>
      <c r="AL40" s="47" t="s">
        <v>212</v>
      </c>
      <c r="AM40" s="47" t="s">
        <v>212</v>
      </c>
      <c r="AN40" s="47" t="s">
        <v>212</v>
      </c>
      <c r="AO40" s="47" t="s">
        <v>212</v>
      </c>
      <c r="AP40" s="47" t="s">
        <v>212</v>
      </c>
      <c r="AQ40" s="47" t="s">
        <v>212</v>
      </c>
      <c r="AR40" s="47" t="s">
        <v>212</v>
      </c>
      <c r="AS40" s="47" t="s">
        <v>212</v>
      </c>
      <c r="AT40" s="47" t="s">
        <v>212</v>
      </c>
      <c r="AU40" s="47" t="s">
        <v>212</v>
      </c>
      <c r="AV40" s="47" t="s">
        <v>212</v>
      </c>
      <c r="AW40" s="47" t="s">
        <v>212</v>
      </c>
      <c r="AX40" s="47" t="s">
        <v>212</v>
      </c>
    </row>
    <row r="41" customFormat="false" ht="19.5" hidden="false" customHeight="true" outlineLevel="0" collapsed="false">
      <c r="A41" s="21" t="s">
        <v>444</v>
      </c>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row>
    <row r="42" customFormat="false" ht="18.75" hidden="false" customHeight="true" outlineLevel="0" collapsed="false">
      <c r="A42" s="14" t="s">
        <v>445</v>
      </c>
      <c r="B42" s="41" t="s">
        <v>446</v>
      </c>
      <c r="C42" s="48" t="n">
        <v>672</v>
      </c>
      <c r="D42" s="48" t="n">
        <v>672</v>
      </c>
      <c r="E42" s="48" t="n">
        <v>672</v>
      </c>
      <c r="F42" s="48" t="n">
        <v>672</v>
      </c>
      <c r="G42" s="48" t="n">
        <v>815</v>
      </c>
      <c r="H42" s="48" t="n">
        <v>772</v>
      </c>
      <c r="I42" s="48" t="n">
        <v>893</v>
      </c>
      <c r="J42" s="48" t="n">
        <v>1055</v>
      </c>
      <c r="K42" s="48" t="n">
        <v>987</v>
      </c>
      <c r="L42" s="48" t="n">
        <v>1138</v>
      </c>
      <c r="M42" s="48" t="n">
        <v>687</v>
      </c>
      <c r="N42" s="48" t="n">
        <v>506</v>
      </c>
      <c r="O42" s="48" t="n">
        <v>1085</v>
      </c>
      <c r="P42" s="48" t="n">
        <v>976</v>
      </c>
      <c r="Q42" s="48" t="n">
        <v>633</v>
      </c>
      <c r="R42" s="48" t="n">
        <v>820</v>
      </c>
      <c r="S42" s="48" t="n">
        <v>567</v>
      </c>
      <c r="T42" s="48" t="n">
        <v>1400</v>
      </c>
      <c r="U42" s="48" t="n">
        <v>1333</v>
      </c>
      <c r="V42" s="48" t="n">
        <v>800</v>
      </c>
      <c r="W42" s="48" t="n">
        <v>861</v>
      </c>
      <c r="X42" s="48" t="n">
        <v>857</v>
      </c>
      <c r="Y42" s="48" t="n">
        <v>660</v>
      </c>
      <c r="Z42" s="48" t="n">
        <v>1328</v>
      </c>
      <c r="AA42" s="48" t="n">
        <v>1067</v>
      </c>
      <c r="AB42" s="48" t="n">
        <v>2184</v>
      </c>
      <c r="AC42" s="48" t="n">
        <v>649</v>
      </c>
      <c r="AD42" s="48" t="n">
        <v>717</v>
      </c>
      <c r="AE42" s="48" t="n">
        <v>857</v>
      </c>
      <c r="AF42" s="48" t="n">
        <v>620</v>
      </c>
      <c r="AG42" s="48" t="n">
        <v>633</v>
      </c>
      <c r="AH42" s="48" t="n">
        <v>900</v>
      </c>
      <c r="AI42" s="48" t="n">
        <v>800</v>
      </c>
      <c r="AJ42" s="48" t="n">
        <v>1400</v>
      </c>
      <c r="AK42" s="48" t="n">
        <v>1067</v>
      </c>
      <c r="AL42" s="48" t="n">
        <v>1117</v>
      </c>
      <c r="AM42" s="48" t="n">
        <v>830</v>
      </c>
      <c r="AN42" s="48" t="n">
        <v>900</v>
      </c>
      <c r="AO42" s="48" t="n">
        <v>740</v>
      </c>
      <c r="AP42" s="48" t="n">
        <v>1400</v>
      </c>
      <c r="AQ42" s="48" t="n">
        <v>1550</v>
      </c>
      <c r="AR42" s="48" t="n">
        <v>827</v>
      </c>
      <c r="AS42" s="48" t="n">
        <v>817</v>
      </c>
      <c r="AT42" s="48" t="n">
        <v>710</v>
      </c>
      <c r="AU42" s="48" t="n">
        <v>797</v>
      </c>
      <c r="AV42" s="48" t="n">
        <v>815</v>
      </c>
      <c r="AW42" s="48" t="n">
        <v>567</v>
      </c>
      <c r="AX42" s="48" t="n">
        <v>767</v>
      </c>
    </row>
    <row r="43" customFormat="false" ht="18.75" hidden="false" customHeight="true" outlineLevel="0" collapsed="false">
      <c r="A43" s="14" t="s">
        <v>447</v>
      </c>
      <c r="B43" s="41" t="s">
        <v>446</v>
      </c>
      <c r="C43" s="48" t="n">
        <v>472</v>
      </c>
      <c r="D43" s="48" t="n">
        <v>472</v>
      </c>
      <c r="E43" s="48" t="n">
        <v>472</v>
      </c>
      <c r="F43" s="48" t="n">
        <v>472</v>
      </c>
      <c r="G43" s="48" t="n">
        <v>615</v>
      </c>
      <c r="H43" s="48" t="n">
        <v>588</v>
      </c>
      <c r="I43" s="48" t="n">
        <v>693</v>
      </c>
      <c r="J43" s="48" t="n">
        <v>751</v>
      </c>
      <c r="K43" s="48" t="n">
        <v>573</v>
      </c>
      <c r="L43" s="48" t="n">
        <v>702</v>
      </c>
      <c r="M43" s="48" t="n">
        <v>487</v>
      </c>
      <c r="N43" s="48" t="n">
        <v>354</v>
      </c>
      <c r="O43" s="48" t="n">
        <v>772</v>
      </c>
      <c r="P43" s="48" t="n">
        <v>564</v>
      </c>
      <c r="Q43" s="48" t="n">
        <v>433</v>
      </c>
      <c r="R43" s="48" t="n">
        <v>630</v>
      </c>
      <c r="S43" s="48" t="n">
        <v>367</v>
      </c>
      <c r="T43" s="48" t="n">
        <v>1000</v>
      </c>
      <c r="U43" s="48" t="n">
        <v>867</v>
      </c>
      <c r="V43" s="48" t="n">
        <v>600</v>
      </c>
      <c r="W43" s="48" t="n">
        <v>661</v>
      </c>
      <c r="X43" s="48" t="n">
        <v>657</v>
      </c>
      <c r="Y43" s="48" t="n">
        <v>490</v>
      </c>
      <c r="Z43" s="48" t="n">
        <v>928</v>
      </c>
      <c r="AA43" s="48" t="n">
        <v>667</v>
      </c>
      <c r="AB43" s="48" t="n">
        <v>1586</v>
      </c>
      <c r="AC43" s="48" t="n">
        <v>449</v>
      </c>
      <c r="AD43" s="48" t="n">
        <v>517</v>
      </c>
      <c r="AE43" s="48" t="n">
        <v>657</v>
      </c>
      <c r="AF43" s="48" t="n">
        <v>455</v>
      </c>
      <c r="AG43" s="48" t="n">
        <v>433</v>
      </c>
      <c r="AH43" s="48" t="n">
        <v>700</v>
      </c>
      <c r="AI43" s="48" t="n">
        <v>567</v>
      </c>
      <c r="AJ43" s="48" t="n">
        <v>1000</v>
      </c>
      <c r="AK43" s="48" t="n">
        <v>667</v>
      </c>
      <c r="AL43" s="48" t="n">
        <v>683</v>
      </c>
      <c r="AM43" s="48" t="n">
        <v>630</v>
      </c>
      <c r="AN43" s="48" t="n">
        <v>700</v>
      </c>
      <c r="AO43" s="48" t="n">
        <v>560</v>
      </c>
      <c r="AP43" s="48" t="n">
        <v>1000</v>
      </c>
      <c r="AQ43" s="48" t="n">
        <v>1050</v>
      </c>
      <c r="AR43" s="48" t="n">
        <v>627</v>
      </c>
      <c r="AS43" s="48" t="n">
        <v>617</v>
      </c>
      <c r="AT43" s="48" t="n">
        <v>502</v>
      </c>
      <c r="AU43" s="48" t="n">
        <v>597</v>
      </c>
      <c r="AV43" s="48" t="n">
        <v>615</v>
      </c>
      <c r="AW43" s="48" t="n">
        <v>367</v>
      </c>
      <c r="AX43" s="48" t="n">
        <v>567</v>
      </c>
    </row>
    <row r="44" customFormat="false" ht="18.75" hidden="false" customHeight="true" outlineLevel="0" collapsed="false">
      <c r="A44" s="14" t="s">
        <v>448</v>
      </c>
      <c r="B44" s="41" t="s">
        <v>446</v>
      </c>
      <c r="C44" s="48" t="n">
        <v>417</v>
      </c>
      <c r="D44" s="48" t="n">
        <v>417</v>
      </c>
      <c r="E44" s="48" t="n">
        <v>417</v>
      </c>
      <c r="F44" s="48" t="n">
        <v>417</v>
      </c>
      <c r="G44" s="48" t="n">
        <v>532</v>
      </c>
      <c r="H44" s="48" t="n">
        <v>504</v>
      </c>
      <c r="I44" s="48" t="n">
        <v>595</v>
      </c>
      <c r="J44" s="48" t="n">
        <v>608</v>
      </c>
      <c r="K44" s="48" t="n">
        <v>547</v>
      </c>
      <c r="L44" s="48" t="n">
        <v>628</v>
      </c>
      <c r="M44" s="48" t="n">
        <v>429</v>
      </c>
      <c r="N44" s="48" t="n">
        <v>303</v>
      </c>
      <c r="O44" s="48" t="n">
        <v>625</v>
      </c>
      <c r="P44" s="48" t="n">
        <v>541</v>
      </c>
      <c r="Q44" s="48" t="n">
        <v>387</v>
      </c>
      <c r="R44" s="48" t="n">
        <v>540</v>
      </c>
      <c r="S44" s="48" t="n">
        <v>333</v>
      </c>
      <c r="T44" s="48" t="n">
        <v>800</v>
      </c>
      <c r="U44" s="48" t="n">
        <v>733</v>
      </c>
      <c r="V44" s="48" t="n">
        <v>520</v>
      </c>
      <c r="W44" s="48" t="n">
        <v>569</v>
      </c>
      <c r="X44" s="48" t="n">
        <v>566</v>
      </c>
      <c r="Y44" s="48" t="n">
        <v>420</v>
      </c>
      <c r="Z44" s="48" t="n">
        <v>757</v>
      </c>
      <c r="AA44" s="48" t="n">
        <v>600</v>
      </c>
      <c r="AB44" s="48" t="n">
        <v>1191</v>
      </c>
      <c r="AC44" s="48" t="n">
        <v>399</v>
      </c>
      <c r="AD44" s="48" t="n">
        <v>453</v>
      </c>
      <c r="AE44" s="48" t="n">
        <v>566</v>
      </c>
      <c r="AF44" s="48" t="n">
        <v>390</v>
      </c>
      <c r="AG44" s="48" t="n">
        <v>387</v>
      </c>
      <c r="AH44" s="48" t="n">
        <v>600</v>
      </c>
      <c r="AI44" s="48" t="n">
        <v>467</v>
      </c>
      <c r="AJ44" s="48" t="n">
        <v>800</v>
      </c>
      <c r="AK44" s="48" t="n">
        <v>600</v>
      </c>
      <c r="AL44" s="48" t="n">
        <v>617</v>
      </c>
      <c r="AM44" s="48" t="n">
        <v>544</v>
      </c>
      <c r="AN44" s="48" t="n">
        <v>600</v>
      </c>
      <c r="AO44" s="48" t="n">
        <v>480</v>
      </c>
      <c r="AP44" s="48" t="n">
        <v>800</v>
      </c>
      <c r="AQ44" s="48" t="n">
        <v>850</v>
      </c>
      <c r="AR44" s="48" t="n">
        <v>541</v>
      </c>
      <c r="AS44" s="48" t="n">
        <v>533</v>
      </c>
      <c r="AT44" s="48" t="n">
        <v>417</v>
      </c>
      <c r="AU44" s="48" t="n">
        <v>517</v>
      </c>
      <c r="AV44" s="48" t="n">
        <v>532</v>
      </c>
      <c r="AW44" s="48" t="n">
        <v>333</v>
      </c>
      <c r="AX44" s="48" t="n">
        <v>493</v>
      </c>
    </row>
    <row r="45" customFormat="false" ht="18.75" hidden="false" customHeight="true" outlineLevel="0" collapsed="false">
      <c r="A45" s="14" t="s">
        <v>449</v>
      </c>
      <c r="B45" s="41" t="s">
        <v>446</v>
      </c>
      <c r="C45" s="48" t="n">
        <v>209</v>
      </c>
      <c r="D45" s="48" t="n">
        <v>209</v>
      </c>
      <c r="E45" s="48" t="n">
        <v>209</v>
      </c>
      <c r="F45" s="48" t="n">
        <v>209</v>
      </c>
      <c r="G45" s="48" t="n">
        <v>266</v>
      </c>
      <c r="H45" s="48" t="n">
        <v>252</v>
      </c>
      <c r="I45" s="48" t="n">
        <v>297</v>
      </c>
      <c r="J45" s="48" t="n">
        <v>304</v>
      </c>
      <c r="K45" s="48" t="n">
        <v>313</v>
      </c>
      <c r="L45" s="48" t="n">
        <v>337</v>
      </c>
      <c r="M45" s="48" t="n">
        <v>215</v>
      </c>
      <c r="N45" s="48" t="n">
        <v>152</v>
      </c>
      <c r="O45" s="48" t="n">
        <v>312</v>
      </c>
      <c r="P45" s="48" t="n">
        <v>312</v>
      </c>
      <c r="Q45" s="48" t="n">
        <v>193</v>
      </c>
      <c r="R45" s="48" t="n">
        <v>270</v>
      </c>
      <c r="S45" s="48" t="n">
        <v>167</v>
      </c>
      <c r="T45" s="48" t="n">
        <v>400</v>
      </c>
      <c r="U45" s="48" t="n">
        <v>367</v>
      </c>
      <c r="V45" s="48" t="n">
        <v>260</v>
      </c>
      <c r="W45" s="48" t="n">
        <v>284</v>
      </c>
      <c r="X45" s="48" t="n">
        <v>283</v>
      </c>
      <c r="Y45" s="48" t="n">
        <v>210</v>
      </c>
      <c r="Z45" s="48" t="n">
        <v>386</v>
      </c>
      <c r="AA45" s="48" t="n">
        <v>333</v>
      </c>
      <c r="AB45" s="48" t="n">
        <v>498</v>
      </c>
      <c r="AC45" s="48" t="n">
        <v>199</v>
      </c>
      <c r="AD45" s="48" t="n">
        <v>227</v>
      </c>
      <c r="AE45" s="48" t="n">
        <v>283</v>
      </c>
      <c r="AF45" s="48" t="n">
        <v>195</v>
      </c>
      <c r="AG45" s="48" t="n">
        <v>193</v>
      </c>
      <c r="AH45" s="48" t="n">
        <v>300</v>
      </c>
      <c r="AI45" s="48" t="n">
        <v>233</v>
      </c>
      <c r="AJ45" s="48" t="n">
        <v>400</v>
      </c>
      <c r="AK45" s="48" t="n">
        <v>333</v>
      </c>
      <c r="AL45" s="48" t="n">
        <v>333</v>
      </c>
      <c r="AM45" s="48" t="n">
        <v>272</v>
      </c>
      <c r="AN45" s="48" t="n">
        <v>300</v>
      </c>
      <c r="AO45" s="48" t="n">
        <v>240</v>
      </c>
      <c r="AP45" s="48" t="n">
        <v>400</v>
      </c>
      <c r="AQ45" s="48" t="n">
        <v>400</v>
      </c>
      <c r="AR45" s="48" t="n">
        <v>271</v>
      </c>
      <c r="AS45" s="48" t="n">
        <v>267</v>
      </c>
      <c r="AT45" s="48" t="n">
        <v>208</v>
      </c>
      <c r="AU45" s="48" t="n">
        <v>259</v>
      </c>
      <c r="AV45" s="48" t="n">
        <v>266</v>
      </c>
      <c r="AW45" s="48" t="n">
        <v>167</v>
      </c>
      <c r="AX45" s="48" t="n">
        <v>247</v>
      </c>
    </row>
    <row r="46" customFormat="false" ht="18.75" hidden="false" customHeight="true" outlineLevel="0" collapsed="false">
      <c r="A46" s="14" t="s">
        <v>450</v>
      </c>
      <c r="B46" s="41" t="s">
        <v>446</v>
      </c>
      <c r="C46" s="43" t="n">
        <f aca="false">INDEX(C42:C45,MATCH(SDR_Soil,{"Rock","Gravel","Mixed soil","Clay"},0))</f>
        <v>417</v>
      </c>
      <c r="D46" s="43" t="n">
        <f aca="false">INDEX(D42:D45,MATCH(SDR_Soil,{"Rock","Gravel","Mixed soil","Clay"},0))</f>
        <v>417</v>
      </c>
      <c r="E46" s="43" t="n">
        <f aca="false">INDEX(E42:E45,MATCH(SDR_Soil,{"Rock","Gravel","Mixed soil","Clay"},0))</f>
        <v>417</v>
      </c>
      <c r="F46" s="43" t="n">
        <f aca="false">INDEX(F42:F45,MATCH(SDR_Soil,{"Rock","Gravel","Mixed soil","Clay"},0))</f>
        <v>417</v>
      </c>
      <c r="G46" s="43" t="n">
        <f aca="false">INDEX(G42:G45,MATCH(SDR_Soil,{"Rock","Gravel","Mixed soil","Clay"},0))</f>
        <v>532</v>
      </c>
      <c r="H46" s="43" t="n">
        <f aca="false">INDEX(H42:H45,MATCH(SDR_Soil,{"Rock","Gravel","Mixed soil","Clay"},0))</f>
        <v>504</v>
      </c>
      <c r="I46" s="43" t="n">
        <f aca="false">INDEX(I42:I45,MATCH(SDR_Soil,{"Rock","Gravel","Mixed soil","Clay"},0))</f>
        <v>595</v>
      </c>
      <c r="J46" s="43" t="n">
        <f aca="false">INDEX(J42:J45,MATCH(SDR_Soil,{"Rock","Gravel","Mixed soil","Clay"},0))</f>
        <v>608</v>
      </c>
      <c r="K46" s="43" t="n">
        <f aca="false">INDEX(K42:K45,MATCH(SDR_Soil,{"Rock","Gravel","Mixed soil","Clay"},0))</f>
        <v>547</v>
      </c>
      <c r="L46" s="43" t="n">
        <f aca="false">INDEX(L42:L45,MATCH(SDR_Soil,{"Rock","Gravel","Mixed soil","Clay"},0))</f>
        <v>628</v>
      </c>
      <c r="M46" s="43" t="n">
        <f aca="false">INDEX(M42:M45,MATCH(SDR_Soil,{"Rock","Gravel","Mixed soil","Clay"},0))</f>
        <v>429</v>
      </c>
      <c r="N46" s="43" t="n">
        <f aca="false">INDEX(N42:N45,MATCH(SDR_Soil,{"Rock","Gravel","Mixed soil","Clay"},0))</f>
        <v>303</v>
      </c>
      <c r="O46" s="43" t="n">
        <f aca="false">INDEX(O42:O45,MATCH(SDR_Soil,{"Rock","Gravel","Mixed soil","Clay"},0))</f>
        <v>625</v>
      </c>
      <c r="P46" s="43" t="n">
        <f aca="false">INDEX(P42:P45,MATCH(SDR_Soil,{"Rock","Gravel","Mixed soil","Clay"},0))</f>
        <v>541</v>
      </c>
      <c r="Q46" s="43" t="n">
        <f aca="false">INDEX(Q42:Q45,MATCH(SDR_Soil,{"Rock","Gravel","Mixed soil","Clay"},0))</f>
        <v>387</v>
      </c>
      <c r="R46" s="43" t="n">
        <f aca="false">INDEX(R42:R45,MATCH(SDR_Soil,{"Rock","Gravel","Mixed soil","Clay"},0))</f>
        <v>540</v>
      </c>
      <c r="S46" s="43" t="n">
        <f aca="false">INDEX(S42:S45,MATCH(SDR_Soil,{"Rock","Gravel","Mixed soil","Clay"},0))</f>
        <v>333</v>
      </c>
      <c r="T46" s="43" t="n">
        <f aca="false">INDEX(T42:T45,MATCH(SDR_Soil,{"Rock","Gravel","Mixed soil","Clay"},0))</f>
        <v>800</v>
      </c>
      <c r="U46" s="43" t="n">
        <f aca="false">INDEX(U42:U45,MATCH(SDR_Soil,{"Rock","Gravel","Mixed soil","Clay"},0))</f>
        <v>733</v>
      </c>
      <c r="V46" s="43" t="n">
        <f aca="false">INDEX(V42:V45,MATCH(SDR_Soil,{"Rock","Gravel","Mixed soil","Clay"},0))</f>
        <v>520</v>
      </c>
      <c r="W46" s="43" t="n">
        <f aca="false">INDEX(W42:W45,MATCH(SDR_Soil,{"Rock","Gravel","Mixed soil","Clay"},0))</f>
        <v>569</v>
      </c>
      <c r="X46" s="43" t="n">
        <f aca="false">INDEX(X42:X45,MATCH(SDR_Soil,{"Rock","Gravel","Mixed soil","Clay"},0))</f>
        <v>566</v>
      </c>
      <c r="Y46" s="43" t="n">
        <f aca="false">INDEX(Y42:Y45,MATCH(SDR_Soil,{"Rock","Gravel","Mixed soil","Clay"},0))</f>
        <v>420</v>
      </c>
      <c r="Z46" s="43" t="n">
        <f aca="false">INDEX(Z42:Z45,MATCH(SDR_Soil,{"Rock","Gravel","Mixed soil","Clay"},0))</f>
        <v>757</v>
      </c>
      <c r="AA46" s="43" t="n">
        <f aca="false">INDEX(AA42:AA45,MATCH(SDR_Soil,{"Rock","Gravel","Mixed soil","Clay"},0))</f>
        <v>600</v>
      </c>
      <c r="AB46" s="43" t="n">
        <f aca="false">INDEX(AB42:AB45,MATCH(SDR_Soil,{"Rock","Gravel","Mixed soil","Clay"},0))</f>
        <v>1191</v>
      </c>
      <c r="AC46" s="43" t="n">
        <f aca="false">INDEX(AC42:AC45,MATCH(SDR_Soil,{"Rock","Gravel","Mixed soil","Clay"},0))</f>
        <v>399</v>
      </c>
      <c r="AD46" s="43" t="n">
        <f aca="false">INDEX(AD42:AD45,MATCH(SDR_Soil,{"Rock","Gravel","Mixed soil","Clay"},0))</f>
        <v>453</v>
      </c>
      <c r="AE46" s="43" t="n">
        <f aca="false">INDEX(AE42:AE45,MATCH(SDR_Soil,{"Rock","Gravel","Mixed soil","Clay"},0))</f>
        <v>566</v>
      </c>
      <c r="AF46" s="43" t="n">
        <f aca="false">INDEX(AF42:AF45,MATCH(SDR_Soil,{"Rock","Gravel","Mixed soil","Clay"},0))</f>
        <v>390</v>
      </c>
      <c r="AG46" s="43" t="n">
        <f aca="false">INDEX(AG42:AG45,MATCH(SDR_Soil,{"Rock","Gravel","Mixed soil","Clay"},0))</f>
        <v>387</v>
      </c>
      <c r="AH46" s="43" t="n">
        <f aca="false">INDEX(AH42:AH45,MATCH(SDR_Soil,{"Rock","Gravel","Mixed soil","Clay"},0))</f>
        <v>600</v>
      </c>
      <c r="AI46" s="43" t="n">
        <f aca="false">INDEX(AI42:AI45,MATCH(SDR_Soil,{"Rock","Gravel","Mixed soil","Clay"},0))</f>
        <v>467</v>
      </c>
      <c r="AJ46" s="43" t="n">
        <f aca="false">INDEX(AJ42:AJ45,MATCH(SDR_Soil,{"Rock","Gravel","Mixed soil","Clay"},0))</f>
        <v>800</v>
      </c>
      <c r="AK46" s="43" t="n">
        <f aca="false">INDEX(AK42:AK45,MATCH(SDR_Soil,{"Rock","Gravel","Mixed soil","Clay"},0))</f>
        <v>600</v>
      </c>
      <c r="AL46" s="43" t="n">
        <f aca="false">INDEX(AL42:AL45,MATCH(SDR_Soil,{"Rock","Gravel","Mixed soil","Clay"},0))</f>
        <v>617</v>
      </c>
      <c r="AM46" s="43" t="n">
        <f aca="false">INDEX(AM42:AM45,MATCH(SDR_Soil,{"Rock","Gravel","Mixed soil","Clay"},0))</f>
        <v>544</v>
      </c>
      <c r="AN46" s="43" t="n">
        <f aca="false">INDEX(AN42:AN45,MATCH(SDR_Soil,{"Rock","Gravel","Mixed soil","Clay"},0))</f>
        <v>600</v>
      </c>
      <c r="AO46" s="43" t="n">
        <f aca="false">INDEX(AO42:AO45,MATCH(SDR_Soil,{"Rock","Gravel","Mixed soil","Clay"},0))</f>
        <v>480</v>
      </c>
      <c r="AP46" s="43" t="n">
        <f aca="false">INDEX(AP42:AP45,MATCH(SDR_Soil,{"Rock","Gravel","Mixed soil","Clay"},0))</f>
        <v>800</v>
      </c>
      <c r="AQ46" s="43" t="n">
        <f aca="false">INDEX(AQ42:AQ45,MATCH(SDR_Soil,{"Rock","Gravel","Mixed soil","Clay"},0))</f>
        <v>850</v>
      </c>
      <c r="AR46" s="43" t="n">
        <f aca="false">INDEX(AR42:AR45,MATCH(SDR_Soil,{"Rock","Gravel","Mixed soil","Clay"},0))</f>
        <v>541</v>
      </c>
      <c r="AS46" s="43" t="n">
        <f aca="false">INDEX(AS42:AS45,MATCH(SDR_Soil,{"Rock","Gravel","Mixed soil","Clay"},0))</f>
        <v>533</v>
      </c>
      <c r="AT46" s="43" t="n">
        <f aca="false">INDEX(AT42:AT45,MATCH(SDR_Soil,{"Rock","Gravel","Mixed soil","Clay"},0))</f>
        <v>417</v>
      </c>
      <c r="AU46" s="43" t="n">
        <f aca="false">INDEX(AU42:AU45,MATCH(SDR_Soil,{"Rock","Gravel","Mixed soil","Clay"},0))</f>
        <v>517</v>
      </c>
      <c r="AV46" s="43" t="n">
        <f aca="false">INDEX(AV42:AV45,MATCH(SDR_Soil,{"Rock","Gravel","Mixed soil","Clay"},0))</f>
        <v>532</v>
      </c>
      <c r="AW46" s="43" t="n">
        <f aca="false">INDEX(AW42:AW45,MATCH(SDR_Soil,{"Rock","Gravel","Mixed soil","Clay"},0))</f>
        <v>333</v>
      </c>
      <c r="AX46" s="43" t="n">
        <f aca="false">INDEX(AX42:AX45,MATCH(SDR_Soil,{"Rock","Gravel","Mixed soil","Clay"},0))</f>
        <v>493</v>
      </c>
    </row>
    <row r="47" customFormat="false" ht="18.75" hidden="false" customHeight="true" outlineLevel="0" collapsed="false">
      <c r="A47" s="14" t="s">
        <v>451</v>
      </c>
      <c r="B47" s="41" t="s">
        <v>446</v>
      </c>
      <c r="C47" s="43" t="n">
        <f aca="false">C46*IF(AND(C8="BOMAG",C40="YES"),SDR_TechFactor,1)</f>
        <v>417</v>
      </c>
      <c r="D47" s="43" t="n">
        <f aca="false">D46*IF(AND(D8="BOMAG",D40="YES"),SDR_TechFactor,1)</f>
        <v>417</v>
      </c>
      <c r="E47" s="43" t="n">
        <f aca="false">E46*IF(AND(E8="BOMAG",E40="YES"),SDR_TechFactor,1)</f>
        <v>417</v>
      </c>
      <c r="F47" s="43" t="n">
        <f aca="false">F46*IF(AND(F8="BOMAG",F40="YES"),SDR_TechFactor,1)</f>
        <v>417</v>
      </c>
      <c r="G47" s="43" t="n">
        <f aca="false">G46*IF(AND(G8="BOMAG",G40="YES"),SDR_TechFactor,1)</f>
        <v>532</v>
      </c>
      <c r="H47" s="43" t="n">
        <f aca="false">H46*IF(AND(H8="BOMAG",H40="YES"),SDR_TechFactor,1)</f>
        <v>504</v>
      </c>
      <c r="I47" s="43" t="n">
        <f aca="false">I46*IF(AND(I8="BOMAG",I40="YES"),SDR_TechFactor,1)</f>
        <v>595</v>
      </c>
      <c r="J47" s="43" t="n">
        <f aca="false">J46*IF(AND(J8="BOMAG",J40="YES"),SDR_TechFactor,1)</f>
        <v>608</v>
      </c>
      <c r="K47" s="43" t="n">
        <f aca="false">K46*IF(AND(K8="BOMAG",K40="YES"),SDR_TechFactor,1)</f>
        <v>547</v>
      </c>
      <c r="L47" s="43" t="n">
        <f aca="false">L46*IF(AND(L8="BOMAG",L40="YES"),SDR_TechFactor,1)</f>
        <v>628</v>
      </c>
      <c r="M47" s="43" t="n">
        <f aca="false">M46*IF(AND(M8="BOMAG",M40="YES"),SDR_TechFactor,1)</f>
        <v>429</v>
      </c>
      <c r="N47" s="43" t="n">
        <f aca="false">N46*IF(AND(N8="BOMAG",N40="YES"),SDR_TechFactor,1)</f>
        <v>303</v>
      </c>
      <c r="O47" s="43" t="n">
        <f aca="false">O46*IF(AND(O8="BOMAG",O40="YES"),SDR_TechFactor,1)</f>
        <v>625</v>
      </c>
      <c r="P47" s="43" t="n">
        <f aca="false">P46*IF(AND(P8="BOMAG",P40="YES"),SDR_TechFactor,1)</f>
        <v>541</v>
      </c>
      <c r="Q47" s="43" t="n">
        <f aca="false">Q46*IF(AND(Q8="BOMAG",Q40="YES"),SDR_TechFactor,1)</f>
        <v>387</v>
      </c>
      <c r="R47" s="43" t="n">
        <f aca="false">R46*IF(AND(R8="BOMAG",R40="YES"),SDR_TechFactor,1)</f>
        <v>540</v>
      </c>
      <c r="S47" s="43" t="n">
        <f aca="false">S46*IF(AND(S8="BOMAG",S40="YES"),SDR_TechFactor,1)</f>
        <v>333</v>
      </c>
      <c r="T47" s="43" t="n">
        <f aca="false">T46*IF(AND(T8="BOMAG",T40="YES"),SDR_TechFactor,1)</f>
        <v>800</v>
      </c>
      <c r="U47" s="43" t="n">
        <f aca="false">U46*IF(AND(U8="BOMAG",U40="YES"),SDR_TechFactor,1)</f>
        <v>733</v>
      </c>
      <c r="V47" s="43" t="n">
        <f aca="false">V46*IF(AND(V8="BOMAG",V40="YES"),SDR_TechFactor,1)</f>
        <v>520</v>
      </c>
      <c r="W47" s="43" t="n">
        <f aca="false">W46*IF(AND(W8="BOMAG",W40="YES"),SDR_TechFactor,1)</f>
        <v>569</v>
      </c>
      <c r="X47" s="43" t="n">
        <f aca="false">X46*IF(AND(X8="BOMAG",X40="YES"),SDR_TechFactor,1)</f>
        <v>566</v>
      </c>
      <c r="Y47" s="43" t="n">
        <f aca="false">Y46*IF(AND(Y8="BOMAG",Y40="YES"),SDR_TechFactor,1)</f>
        <v>420</v>
      </c>
      <c r="Z47" s="43" t="n">
        <f aca="false">Z46*IF(AND(Z8="BOMAG",Z40="YES"),SDR_TechFactor,1)</f>
        <v>757</v>
      </c>
      <c r="AA47" s="43" t="n">
        <f aca="false">AA46*IF(AND(AA8="BOMAG",AA40="YES"),SDR_TechFactor,1)</f>
        <v>600</v>
      </c>
      <c r="AB47" s="43" t="n">
        <f aca="false">AB46*IF(AND(AB8="BOMAG",AB40="YES"),SDR_TechFactor,1)</f>
        <v>1191</v>
      </c>
      <c r="AC47" s="43" t="n">
        <f aca="false">AC46*IF(AND(AC8="BOMAG",AC40="YES"),SDR_TechFactor,1)</f>
        <v>399</v>
      </c>
      <c r="AD47" s="43" t="n">
        <f aca="false">AD46*IF(AND(AD8="BOMAG",AD40="YES"),SDR_TechFactor,1)</f>
        <v>453</v>
      </c>
      <c r="AE47" s="43" t="n">
        <f aca="false">AE46*IF(AND(AE8="BOMAG",AE40="YES"),SDR_TechFactor,1)</f>
        <v>566</v>
      </c>
      <c r="AF47" s="43" t="n">
        <f aca="false">AF46*IF(AND(AF8="BOMAG",AF40="YES"),SDR_TechFactor,1)</f>
        <v>390</v>
      </c>
      <c r="AG47" s="43" t="n">
        <f aca="false">AG46*IF(AND(AG8="BOMAG",AG40="YES"),SDR_TechFactor,1)</f>
        <v>387</v>
      </c>
      <c r="AH47" s="43" t="n">
        <f aca="false">AH46*IF(AND(AH8="BOMAG",AH40="YES"),SDR_TechFactor,1)</f>
        <v>600</v>
      </c>
      <c r="AI47" s="43" t="n">
        <f aca="false">AI46*IF(AND(AI8="BOMAG",AI40="YES"),SDR_TechFactor,1)</f>
        <v>467</v>
      </c>
      <c r="AJ47" s="43" t="n">
        <f aca="false">AJ46*IF(AND(AJ8="BOMAG",AJ40="YES"),SDR_TechFactor,1)</f>
        <v>800</v>
      </c>
      <c r="AK47" s="43" t="n">
        <f aca="false">AK46*IF(AND(AK8="BOMAG",AK40="YES"),SDR_TechFactor,1)</f>
        <v>600</v>
      </c>
      <c r="AL47" s="43" t="n">
        <f aca="false">AL46*IF(AND(AL8="BOMAG",AL40="YES"),SDR_TechFactor,1)</f>
        <v>617</v>
      </c>
      <c r="AM47" s="43" t="n">
        <f aca="false">AM46*IF(AND(AM8="BOMAG",AM40="YES"),SDR_TechFactor,1)</f>
        <v>544</v>
      </c>
      <c r="AN47" s="43" t="n">
        <f aca="false">AN46*IF(AND(AN8="BOMAG",AN40="YES"),SDR_TechFactor,1)</f>
        <v>600</v>
      </c>
      <c r="AO47" s="43" t="n">
        <f aca="false">AO46*IF(AND(AO8="BOMAG",AO40="YES"),SDR_TechFactor,1)</f>
        <v>480</v>
      </c>
      <c r="AP47" s="43" t="n">
        <f aca="false">AP46*IF(AND(AP8="BOMAG",AP40="YES"),SDR_TechFactor,1)</f>
        <v>800</v>
      </c>
      <c r="AQ47" s="43" t="n">
        <f aca="false">AQ46*IF(AND(AQ8="BOMAG",AQ40="YES"),SDR_TechFactor,1)</f>
        <v>850</v>
      </c>
      <c r="AR47" s="43" t="n">
        <f aca="false">AR46*IF(AND(AR8="BOMAG",AR40="YES"),SDR_TechFactor,1)</f>
        <v>541</v>
      </c>
      <c r="AS47" s="43" t="n">
        <f aca="false">AS46*IF(AND(AS8="BOMAG",AS40="YES"),SDR_TechFactor,1)</f>
        <v>533</v>
      </c>
      <c r="AT47" s="43" t="n">
        <f aca="false">AT46*IF(AND(AT8="BOMAG",AT40="YES"),SDR_TechFactor,1)</f>
        <v>417</v>
      </c>
      <c r="AU47" s="43" t="n">
        <f aca="false">AU46*IF(AND(AU8="BOMAG",AU40="YES"),SDR_TechFactor,1)</f>
        <v>517</v>
      </c>
      <c r="AV47" s="43" t="n">
        <f aca="false">AV46*IF(AND(AV8="BOMAG",AV40="YES"),SDR_TechFactor,1)</f>
        <v>532</v>
      </c>
      <c r="AW47" s="43" t="n">
        <f aca="false">AW46*IF(AND(AW8="BOMAG",AW40="YES"),SDR_TechFactor,1)</f>
        <v>333</v>
      </c>
      <c r="AX47" s="43" t="n">
        <f aca="false">AX46*IF(AND(AX8="BOMAG",AX40="YES"),SDR_TechFactor,1)</f>
        <v>493</v>
      </c>
    </row>
    <row r="48" customFormat="false" ht="18.75" hidden="false" customHeight="true" outlineLevel="0" collapsed="false">
      <c r="A48" s="14" t="s">
        <v>452</v>
      </c>
      <c r="B48" s="41" t="s">
        <v>446</v>
      </c>
      <c r="C48" s="43" t="n">
        <f aca="false">C47*SDR_Efficiency</f>
        <v>417</v>
      </c>
      <c r="D48" s="43" t="n">
        <f aca="false">D47*SDR_Efficiency</f>
        <v>417</v>
      </c>
      <c r="E48" s="43" t="n">
        <f aca="false">E47*SDR_Efficiency</f>
        <v>417</v>
      </c>
      <c r="F48" s="43" t="n">
        <f aca="false">F47*SDR_Efficiency</f>
        <v>417</v>
      </c>
      <c r="G48" s="43" t="n">
        <f aca="false">G47*SDR_Efficiency</f>
        <v>532</v>
      </c>
      <c r="H48" s="43" t="n">
        <f aca="false">H47*SDR_Efficiency</f>
        <v>504</v>
      </c>
      <c r="I48" s="43" t="n">
        <f aca="false">I47*SDR_Efficiency</f>
        <v>595</v>
      </c>
      <c r="J48" s="43" t="n">
        <f aca="false">J47*SDR_Efficiency</f>
        <v>608</v>
      </c>
      <c r="K48" s="43" t="n">
        <f aca="false">K47*SDR_Efficiency</f>
        <v>547</v>
      </c>
      <c r="L48" s="43" t="n">
        <f aca="false">L47*SDR_Efficiency</f>
        <v>628</v>
      </c>
      <c r="M48" s="43" t="n">
        <f aca="false">M47*SDR_Efficiency</f>
        <v>429</v>
      </c>
      <c r="N48" s="43" t="n">
        <f aca="false">N47*SDR_Efficiency</f>
        <v>303</v>
      </c>
      <c r="O48" s="43" t="n">
        <f aca="false">O47*SDR_Efficiency</f>
        <v>625</v>
      </c>
      <c r="P48" s="43" t="n">
        <f aca="false">P47*SDR_Efficiency</f>
        <v>541</v>
      </c>
      <c r="Q48" s="43" t="n">
        <f aca="false">Q47*SDR_Efficiency</f>
        <v>387</v>
      </c>
      <c r="R48" s="43" t="n">
        <f aca="false">R47*SDR_Efficiency</f>
        <v>540</v>
      </c>
      <c r="S48" s="43" t="n">
        <f aca="false">S47*SDR_Efficiency</f>
        <v>333</v>
      </c>
      <c r="T48" s="43" t="n">
        <f aca="false">T47*SDR_Efficiency</f>
        <v>800</v>
      </c>
      <c r="U48" s="43" t="n">
        <f aca="false">U47*SDR_Efficiency</f>
        <v>733</v>
      </c>
      <c r="V48" s="43" t="n">
        <f aca="false">V47*SDR_Efficiency</f>
        <v>520</v>
      </c>
      <c r="W48" s="43" t="n">
        <f aca="false">W47*SDR_Efficiency</f>
        <v>569</v>
      </c>
      <c r="X48" s="43" t="n">
        <f aca="false">X47*SDR_Efficiency</f>
        <v>566</v>
      </c>
      <c r="Y48" s="43" t="n">
        <f aca="false">Y47*SDR_Efficiency</f>
        <v>420</v>
      </c>
      <c r="Z48" s="43" t="n">
        <f aca="false">Z47*SDR_Efficiency</f>
        <v>757</v>
      </c>
      <c r="AA48" s="43" t="n">
        <f aca="false">AA47*SDR_Efficiency</f>
        <v>600</v>
      </c>
      <c r="AB48" s="43" t="n">
        <f aca="false">AB47*SDR_Efficiency</f>
        <v>1191</v>
      </c>
      <c r="AC48" s="43" t="n">
        <f aca="false">AC47*SDR_Efficiency</f>
        <v>399</v>
      </c>
      <c r="AD48" s="43" t="n">
        <f aca="false">AD47*SDR_Efficiency</f>
        <v>453</v>
      </c>
      <c r="AE48" s="43" t="n">
        <f aca="false">AE47*SDR_Efficiency</f>
        <v>566</v>
      </c>
      <c r="AF48" s="43" t="n">
        <f aca="false">AF47*SDR_Efficiency</f>
        <v>390</v>
      </c>
      <c r="AG48" s="43" t="n">
        <f aca="false">AG47*SDR_Efficiency</f>
        <v>387</v>
      </c>
      <c r="AH48" s="43" t="n">
        <f aca="false">AH47*SDR_Efficiency</f>
        <v>600</v>
      </c>
      <c r="AI48" s="43" t="n">
        <f aca="false">AI47*SDR_Efficiency</f>
        <v>467</v>
      </c>
      <c r="AJ48" s="43" t="n">
        <f aca="false">AJ47*SDR_Efficiency</f>
        <v>800</v>
      </c>
      <c r="AK48" s="43" t="n">
        <f aca="false">AK47*SDR_Efficiency</f>
        <v>600</v>
      </c>
      <c r="AL48" s="43" t="n">
        <f aca="false">AL47*SDR_Efficiency</f>
        <v>617</v>
      </c>
      <c r="AM48" s="43" t="n">
        <f aca="false">AM47*SDR_Efficiency</f>
        <v>544</v>
      </c>
      <c r="AN48" s="43" t="n">
        <f aca="false">AN47*SDR_Efficiency</f>
        <v>600</v>
      </c>
      <c r="AO48" s="43" t="n">
        <f aca="false">AO47*SDR_Efficiency</f>
        <v>480</v>
      </c>
      <c r="AP48" s="43" t="n">
        <f aca="false">AP47*SDR_Efficiency</f>
        <v>800</v>
      </c>
      <c r="AQ48" s="43" t="n">
        <f aca="false">AQ47*SDR_Efficiency</f>
        <v>850</v>
      </c>
      <c r="AR48" s="43" t="n">
        <f aca="false">AR47*SDR_Efficiency</f>
        <v>541</v>
      </c>
      <c r="AS48" s="43" t="n">
        <f aca="false">AS47*SDR_Efficiency</f>
        <v>533</v>
      </c>
      <c r="AT48" s="43" t="n">
        <f aca="false">AT47*SDR_Efficiency</f>
        <v>417</v>
      </c>
      <c r="AU48" s="43" t="n">
        <f aca="false">AU47*SDR_Efficiency</f>
        <v>517</v>
      </c>
      <c r="AV48" s="43" t="n">
        <f aca="false">AV47*SDR_Efficiency</f>
        <v>532</v>
      </c>
      <c r="AW48" s="43" t="n">
        <f aca="false">AW47*SDR_Efficiency</f>
        <v>333</v>
      </c>
      <c r="AX48" s="43" t="n">
        <f aca="false">AX47*SDR_Efficiency</f>
        <v>493</v>
      </c>
    </row>
    <row r="49" customFormat="false" ht="18.75" hidden="false" customHeight="true" outlineLevel="0" collapsed="false">
      <c r="A49" s="14" t="s">
        <v>453</v>
      </c>
      <c r="B49" s="41" t="s">
        <v>61</v>
      </c>
      <c r="C49" s="49" t="n">
        <f aca="false">IF(AND(C48&gt;0,SDR_Volume&gt;0),SDR_Volume/C48,0)</f>
        <v>0</v>
      </c>
      <c r="D49" s="49" t="n">
        <f aca="false">IF(AND(D48&gt;0,SDR_Volume&gt;0),SDR_Volume/D48,0)</f>
        <v>0</v>
      </c>
      <c r="E49" s="49" t="n">
        <f aca="false">IF(AND(E48&gt;0,SDR_Volume&gt;0),SDR_Volume/E48,0)</f>
        <v>0</v>
      </c>
      <c r="F49" s="49" t="n">
        <f aca="false">IF(AND(F48&gt;0,SDR_Volume&gt;0),SDR_Volume/F48,0)</f>
        <v>0</v>
      </c>
      <c r="G49" s="49" t="n">
        <f aca="false">IF(AND(G48&gt;0,SDR_Volume&gt;0),SDR_Volume/G48,0)</f>
        <v>0</v>
      </c>
      <c r="H49" s="49" t="n">
        <f aca="false">IF(AND(H48&gt;0,SDR_Volume&gt;0),SDR_Volume/H48,0)</f>
        <v>0</v>
      </c>
      <c r="I49" s="49" t="n">
        <f aca="false">IF(AND(I48&gt;0,SDR_Volume&gt;0),SDR_Volume/I48,0)</f>
        <v>0</v>
      </c>
      <c r="J49" s="49" t="n">
        <f aca="false">IF(AND(J48&gt;0,SDR_Volume&gt;0),SDR_Volume/J48,0)</f>
        <v>0</v>
      </c>
      <c r="K49" s="49" t="n">
        <f aca="false">IF(AND(K48&gt;0,SDR_Volume&gt;0),SDR_Volume/K48,0)</f>
        <v>0</v>
      </c>
      <c r="L49" s="49" t="n">
        <f aca="false">IF(AND(L48&gt;0,SDR_Volume&gt;0),SDR_Volume/L48,0)</f>
        <v>0</v>
      </c>
      <c r="M49" s="49" t="n">
        <f aca="false">IF(AND(M48&gt;0,SDR_Volume&gt;0),SDR_Volume/M48,0)</f>
        <v>0</v>
      </c>
      <c r="N49" s="49" t="n">
        <f aca="false">IF(AND(N48&gt;0,SDR_Volume&gt;0),SDR_Volume/N48,0)</f>
        <v>0</v>
      </c>
      <c r="O49" s="49" t="n">
        <f aca="false">IF(AND(O48&gt;0,SDR_Volume&gt;0),SDR_Volume/O48,0)</f>
        <v>0</v>
      </c>
      <c r="P49" s="49" t="n">
        <f aca="false">IF(AND(P48&gt;0,SDR_Volume&gt;0),SDR_Volume/P48,0)</f>
        <v>0</v>
      </c>
      <c r="Q49" s="49" t="n">
        <f aca="false">IF(AND(Q48&gt;0,SDR_Volume&gt;0),SDR_Volume/Q48,0)</f>
        <v>0</v>
      </c>
      <c r="R49" s="49" t="n">
        <f aca="false">IF(AND(R48&gt;0,SDR_Volume&gt;0),SDR_Volume/R48,0)</f>
        <v>0</v>
      </c>
      <c r="S49" s="49" t="n">
        <f aca="false">IF(AND(S48&gt;0,SDR_Volume&gt;0),SDR_Volume/S48,0)</f>
        <v>0</v>
      </c>
      <c r="T49" s="49" t="n">
        <f aca="false">IF(AND(T48&gt;0,SDR_Volume&gt;0),SDR_Volume/T48,0)</f>
        <v>0</v>
      </c>
      <c r="U49" s="49" t="n">
        <f aca="false">IF(AND(U48&gt;0,SDR_Volume&gt;0),SDR_Volume/U48,0)</f>
        <v>0</v>
      </c>
      <c r="V49" s="49" t="n">
        <f aca="false">IF(AND(V48&gt;0,SDR_Volume&gt;0),SDR_Volume/V48,0)</f>
        <v>0</v>
      </c>
      <c r="W49" s="49" t="n">
        <f aca="false">IF(AND(W48&gt;0,SDR_Volume&gt;0),SDR_Volume/W48,0)</f>
        <v>0</v>
      </c>
      <c r="X49" s="49" t="n">
        <f aca="false">IF(AND(X48&gt;0,SDR_Volume&gt;0),SDR_Volume/X48,0)</f>
        <v>0</v>
      </c>
      <c r="Y49" s="49" t="n">
        <f aca="false">IF(AND(Y48&gt;0,SDR_Volume&gt;0),SDR_Volume/Y48,0)</f>
        <v>0</v>
      </c>
      <c r="Z49" s="49" t="n">
        <f aca="false">IF(AND(Z48&gt;0,SDR_Volume&gt;0),SDR_Volume/Z48,0)</f>
        <v>0</v>
      </c>
      <c r="AA49" s="49" t="n">
        <f aca="false">IF(AND(AA48&gt;0,SDR_Volume&gt;0),SDR_Volume/AA48,0)</f>
        <v>0</v>
      </c>
      <c r="AB49" s="49" t="n">
        <f aca="false">IF(AND(AB48&gt;0,SDR_Volume&gt;0),SDR_Volume/AB48,0)</f>
        <v>0</v>
      </c>
      <c r="AC49" s="49" t="n">
        <f aca="false">IF(AND(AC48&gt;0,SDR_Volume&gt;0),SDR_Volume/AC48,0)</f>
        <v>0</v>
      </c>
      <c r="AD49" s="49" t="n">
        <f aca="false">IF(AND(AD48&gt;0,SDR_Volume&gt;0),SDR_Volume/AD48,0)</f>
        <v>0</v>
      </c>
      <c r="AE49" s="49" t="n">
        <f aca="false">IF(AND(AE48&gt;0,SDR_Volume&gt;0),SDR_Volume/AE48,0)</f>
        <v>0</v>
      </c>
      <c r="AF49" s="49" t="n">
        <f aca="false">IF(AND(AF48&gt;0,SDR_Volume&gt;0),SDR_Volume/AF48,0)</f>
        <v>0</v>
      </c>
      <c r="AG49" s="49" t="n">
        <f aca="false">IF(AND(AG48&gt;0,SDR_Volume&gt;0),SDR_Volume/AG48,0)</f>
        <v>0</v>
      </c>
      <c r="AH49" s="49" t="n">
        <f aca="false">IF(AND(AH48&gt;0,SDR_Volume&gt;0),SDR_Volume/AH48,0)</f>
        <v>0</v>
      </c>
      <c r="AI49" s="49" t="n">
        <f aca="false">IF(AND(AI48&gt;0,SDR_Volume&gt;0),SDR_Volume/AI48,0)</f>
        <v>0</v>
      </c>
      <c r="AJ49" s="49" t="n">
        <f aca="false">IF(AND(AJ48&gt;0,SDR_Volume&gt;0),SDR_Volume/AJ48,0)</f>
        <v>0</v>
      </c>
      <c r="AK49" s="49" t="n">
        <f aca="false">IF(AND(AK48&gt;0,SDR_Volume&gt;0),SDR_Volume/AK48,0)</f>
        <v>0</v>
      </c>
      <c r="AL49" s="49" t="n">
        <f aca="false">IF(AND(AL48&gt;0,SDR_Volume&gt;0),SDR_Volume/AL48,0)</f>
        <v>0</v>
      </c>
      <c r="AM49" s="49" t="n">
        <f aca="false">IF(AND(AM48&gt;0,SDR_Volume&gt;0),SDR_Volume/AM48,0)</f>
        <v>0</v>
      </c>
      <c r="AN49" s="49" t="n">
        <f aca="false">IF(AND(AN48&gt;0,SDR_Volume&gt;0),SDR_Volume/AN48,0)</f>
        <v>0</v>
      </c>
      <c r="AO49" s="49" t="n">
        <f aca="false">IF(AND(AO48&gt;0,SDR_Volume&gt;0),SDR_Volume/AO48,0)</f>
        <v>0</v>
      </c>
      <c r="AP49" s="49" t="n">
        <f aca="false">IF(AND(AP48&gt;0,SDR_Volume&gt;0),SDR_Volume/AP48,0)</f>
        <v>0</v>
      </c>
      <c r="AQ49" s="49" t="n">
        <f aca="false">IF(AND(AQ48&gt;0,SDR_Volume&gt;0),SDR_Volume/AQ48,0)</f>
        <v>0</v>
      </c>
      <c r="AR49" s="49" t="n">
        <f aca="false">IF(AND(AR48&gt;0,SDR_Volume&gt;0),SDR_Volume/AR48,0)</f>
        <v>0</v>
      </c>
      <c r="AS49" s="49" t="n">
        <f aca="false">IF(AND(AS48&gt;0,SDR_Volume&gt;0),SDR_Volume/AS48,0)</f>
        <v>0</v>
      </c>
      <c r="AT49" s="49" t="n">
        <f aca="false">IF(AND(AT48&gt;0,SDR_Volume&gt;0),SDR_Volume/AT48,0)</f>
        <v>0</v>
      </c>
      <c r="AU49" s="49" t="n">
        <f aca="false">IF(AND(AU48&gt;0,SDR_Volume&gt;0),SDR_Volume/AU48,0)</f>
        <v>0</v>
      </c>
      <c r="AV49" s="49" t="n">
        <f aca="false">IF(AND(AV48&gt;0,SDR_Volume&gt;0),SDR_Volume/AV48,0)</f>
        <v>0</v>
      </c>
      <c r="AW49" s="49" t="n">
        <f aca="false">IF(AND(AW48&gt;0,SDR_Volume&gt;0),SDR_Volume/AW48,0)</f>
        <v>0</v>
      </c>
      <c r="AX49" s="49" t="n">
        <f aca="false">IF(AND(AX48&gt;0,SDR_Volume&gt;0),SDR_Volume/AX48,0)</f>
        <v>0</v>
      </c>
    </row>
    <row r="50" customFormat="false" ht="18.75" hidden="false" customHeight="true" outlineLevel="0" collapsed="false">
      <c r="A50" s="14" t="s">
        <v>454</v>
      </c>
      <c r="B50" s="41" t="s">
        <v>437</v>
      </c>
      <c r="C50" s="50" t="n">
        <f aca="false">C35*DieselPrice+C36+C37</f>
        <v>17.16</v>
      </c>
      <c r="D50" s="50" t="n">
        <f aca="false">D35*DieselPrice+D36+D37</f>
        <v>17.16</v>
      </c>
      <c r="E50" s="50" t="n">
        <f aca="false">E35*DieselPrice+E36+E37</f>
        <v>17.88</v>
      </c>
      <c r="F50" s="50" t="n">
        <f aca="false">F35*DieselPrice+F36+F37</f>
        <v>17.88</v>
      </c>
      <c r="G50" s="50" t="n">
        <f aca="false">G35*DieselPrice+G36+G37</f>
        <v>17.88</v>
      </c>
      <c r="H50" s="50" t="n">
        <f aca="false">H35*DieselPrice+H36+H37</f>
        <v>17.88</v>
      </c>
      <c r="I50" s="50" t="n">
        <f aca="false">I35*DieselPrice+I36+I37</f>
        <v>17.88</v>
      </c>
      <c r="J50" s="50" t="n">
        <f aca="false">J35*DieselPrice+J36+J37</f>
        <v>3</v>
      </c>
      <c r="K50" s="50" t="n">
        <f aca="false">K35*DieselPrice+K36+K37</f>
        <v>3</v>
      </c>
      <c r="L50" s="50" t="n">
        <f aca="false">L35*DieselPrice+L36+L37</f>
        <v>3</v>
      </c>
      <c r="M50" s="50" t="n">
        <f aca="false">M35*DieselPrice+M36+M37</f>
        <v>3</v>
      </c>
      <c r="N50" s="50" t="n">
        <f aca="false">N35*DieselPrice+N36+N37</f>
        <v>3</v>
      </c>
      <c r="O50" s="50" t="n">
        <f aca="false">O35*DieselPrice+O36+O37</f>
        <v>3</v>
      </c>
      <c r="P50" s="50" t="n">
        <f aca="false">P35*DieselPrice+P36+P37</f>
        <v>3</v>
      </c>
      <c r="Q50" s="50" t="n">
        <f aca="false">Q35*DieselPrice+Q36+Q37</f>
        <v>19.32</v>
      </c>
      <c r="R50" s="50" t="n">
        <f aca="false">R35*DieselPrice+R36+R37</f>
        <v>19.32</v>
      </c>
      <c r="S50" s="50" t="n">
        <f aca="false">S35*DieselPrice+S36+S37</f>
        <v>3</v>
      </c>
      <c r="T50" s="50" t="n">
        <f aca="false">T35*DieselPrice+T36+T37</f>
        <v>19.32</v>
      </c>
      <c r="U50" s="50" t="n">
        <f aca="false">U35*DieselPrice+U36+U37</f>
        <v>3</v>
      </c>
      <c r="V50" s="50" t="n">
        <f aca="false">V35*DieselPrice+V36+V37</f>
        <v>3</v>
      </c>
      <c r="W50" s="50" t="n">
        <f aca="false">W35*DieselPrice+W36+W37</f>
        <v>19.32</v>
      </c>
      <c r="X50" s="50" t="n">
        <f aca="false">X35*DieselPrice+X36+X37</f>
        <v>19.32</v>
      </c>
      <c r="Y50" s="50" t="n">
        <f aca="false">Y35*DieselPrice+Y36+Y37</f>
        <v>3</v>
      </c>
      <c r="Z50" s="50" t="n">
        <f aca="false">Z35*DieselPrice+Z36+Z37</f>
        <v>3</v>
      </c>
      <c r="AA50" s="50" t="n">
        <f aca="false">AA35*DieselPrice+AA36+AA37</f>
        <v>3</v>
      </c>
      <c r="AB50" s="50" t="n">
        <f aca="false">AB35*DieselPrice+AB36+AB37</f>
        <v>3</v>
      </c>
      <c r="AC50" s="50" t="n">
        <f aca="false">AC35*DieselPrice+AC36+AC37</f>
        <v>20.4</v>
      </c>
      <c r="AD50" s="50" t="n">
        <f aca="false">AD35*DieselPrice+AD36+AD37</f>
        <v>20.4</v>
      </c>
      <c r="AE50" s="50" t="n">
        <f aca="false">AE35*DieselPrice+AE36+AE37</f>
        <v>20.4</v>
      </c>
      <c r="AF50" s="50" t="n">
        <f aca="false">AF35*DieselPrice+AF36+AF37</f>
        <v>3</v>
      </c>
      <c r="AG50" s="50" t="n">
        <f aca="false">AG35*DieselPrice+AG36+AG37</f>
        <v>19.32</v>
      </c>
      <c r="AH50" s="50" t="n">
        <f aca="false">AH35*DieselPrice+AH36+AH37</f>
        <v>19.32</v>
      </c>
      <c r="AI50" s="50" t="n">
        <f aca="false">AI35*DieselPrice+AI36+AI37</f>
        <v>3</v>
      </c>
      <c r="AJ50" s="50" t="n">
        <f aca="false">AJ35*DieselPrice+AJ36+AJ37</f>
        <v>3</v>
      </c>
      <c r="AK50" s="50" t="n">
        <f aca="false">AK35*DieselPrice+AK36+AK37</f>
        <v>3</v>
      </c>
      <c r="AL50" s="50" t="n">
        <f aca="false">AL35*DieselPrice+AL36+AL37</f>
        <v>3</v>
      </c>
      <c r="AM50" s="50" t="n">
        <f aca="false">AM35*DieselPrice+AM36+AM37</f>
        <v>3</v>
      </c>
      <c r="AN50" s="50" t="n">
        <f aca="false">AN35*DieselPrice+AN36+AN37</f>
        <v>3</v>
      </c>
      <c r="AO50" s="50" t="n">
        <f aca="false">AO35*DieselPrice+AO36+AO37</f>
        <v>21.36</v>
      </c>
      <c r="AP50" s="50" t="n">
        <f aca="false">AP35*DieselPrice+AP36+AP37</f>
        <v>3</v>
      </c>
      <c r="AQ50" s="50" t="n">
        <f aca="false">AQ35*DieselPrice+AQ36+AQ37</f>
        <v>3</v>
      </c>
      <c r="AR50" s="50" t="n">
        <f aca="false">AR35*DieselPrice+AR36+AR37</f>
        <v>18.6</v>
      </c>
      <c r="AS50" s="50" t="n">
        <f aca="false">AS35*DieselPrice+AS36+AS37</f>
        <v>18.6</v>
      </c>
      <c r="AT50" s="50" t="n">
        <f aca="false">AT35*DieselPrice+AT36+AT37</f>
        <v>3</v>
      </c>
      <c r="AU50" s="50" t="n">
        <f aca="false">AU35*DieselPrice+AU36+AU37</f>
        <v>15.6</v>
      </c>
      <c r="AV50" s="50" t="n">
        <f aca="false">AV35*DieselPrice+AV36+AV37</f>
        <v>22.56</v>
      </c>
      <c r="AW50" s="50" t="n">
        <f aca="false">AW35*DieselPrice+AW36+AW37</f>
        <v>18.6</v>
      </c>
      <c r="AX50" s="50" t="n">
        <f aca="false">AX35*DieselPrice+AX36+AX37</f>
        <v>18.6</v>
      </c>
    </row>
    <row r="51" customFormat="false" ht="18.75" hidden="false" customHeight="true" outlineLevel="0" collapsed="false">
      <c r="A51" s="14" t="s">
        <v>455</v>
      </c>
      <c r="B51" s="41" t="s">
        <v>67</v>
      </c>
      <c r="C51" s="51" t="n">
        <f aca="false">C49*C50</f>
        <v>0</v>
      </c>
      <c r="D51" s="51" t="n">
        <f aca="false">D49*D50</f>
        <v>0</v>
      </c>
      <c r="E51" s="51" t="n">
        <f aca="false">E49*E50</f>
        <v>0</v>
      </c>
      <c r="F51" s="51" t="n">
        <f aca="false">F49*F50</f>
        <v>0</v>
      </c>
      <c r="G51" s="51" t="n">
        <f aca="false">G49*G50</f>
        <v>0</v>
      </c>
      <c r="H51" s="51" t="n">
        <f aca="false">H49*H50</f>
        <v>0</v>
      </c>
      <c r="I51" s="51" t="n">
        <f aca="false">I49*I50</f>
        <v>0</v>
      </c>
      <c r="J51" s="51" t="n">
        <f aca="false">J49*J50</f>
        <v>0</v>
      </c>
      <c r="K51" s="51" t="n">
        <f aca="false">K49*K50</f>
        <v>0</v>
      </c>
      <c r="L51" s="51" t="n">
        <f aca="false">L49*L50</f>
        <v>0</v>
      </c>
      <c r="M51" s="51" t="n">
        <f aca="false">M49*M50</f>
        <v>0</v>
      </c>
      <c r="N51" s="51" t="n">
        <f aca="false">N49*N50</f>
        <v>0</v>
      </c>
      <c r="O51" s="51" t="n">
        <f aca="false">O49*O50</f>
        <v>0</v>
      </c>
      <c r="P51" s="51" t="n">
        <f aca="false">P49*P50</f>
        <v>0</v>
      </c>
      <c r="Q51" s="51" t="n">
        <f aca="false">Q49*Q50</f>
        <v>0</v>
      </c>
      <c r="R51" s="51" t="n">
        <f aca="false">R49*R50</f>
        <v>0</v>
      </c>
      <c r="S51" s="51" t="n">
        <f aca="false">S49*S50</f>
        <v>0</v>
      </c>
      <c r="T51" s="51" t="n">
        <f aca="false">T49*T50</f>
        <v>0</v>
      </c>
      <c r="U51" s="51" t="n">
        <f aca="false">U49*U50</f>
        <v>0</v>
      </c>
      <c r="V51" s="51" t="n">
        <f aca="false">V49*V50</f>
        <v>0</v>
      </c>
      <c r="W51" s="51" t="n">
        <f aca="false">W49*W50</f>
        <v>0</v>
      </c>
      <c r="X51" s="51" t="n">
        <f aca="false">X49*X50</f>
        <v>0</v>
      </c>
      <c r="Y51" s="51" t="n">
        <f aca="false">Y49*Y50</f>
        <v>0</v>
      </c>
      <c r="Z51" s="51" t="n">
        <f aca="false">Z49*Z50</f>
        <v>0</v>
      </c>
      <c r="AA51" s="51" t="n">
        <f aca="false">AA49*AA50</f>
        <v>0</v>
      </c>
      <c r="AB51" s="51" t="n">
        <f aca="false">AB49*AB50</f>
        <v>0</v>
      </c>
      <c r="AC51" s="51" t="n">
        <f aca="false">AC49*AC50</f>
        <v>0</v>
      </c>
      <c r="AD51" s="51" t="n">
        <f aca="false">AD49*AD50</f>
        <v>0</v>
      </c>
      <c r="AE51" s="51" t="n">
        <f aca="false">AE49*AE50</f>
        <v>0</v>
      </c>
      <c r="AF51" s="51" t="n">
        <f aca="false">AF49*AF50</f>
        <v>0</v>
      </c>
      <c r="AG51" s="51" t="n">
        <f aca="false">AG49*AG50</f>
        <v>0</v>
      </c>
      <c r="AH51" s="51" t="n">
        <f aca="false">AH49*AH50</f>
        <v>0</v>
      </c>
      <c r="AI51" s="51" t="n">
        <f aca="false">AI49*AI50</f>
        <v>0</v>
      </c>
      <c r="AJ51" s="51" t="n">
        <f aca="false">AJ49*AJ50</f>
        <v>0</v>
      </c>
      <c r="AK51" s="51" t="n">
        <f aca="false">AK49*AK50</f>
        <v>0</v>
      </c>
      <c r="AL51" s="51" t="n">
        <f aca="false">AL49*AL50</f>
        <v>0</v>
      </c>
      <c r="AM51" s="51" t="n">
        <f aca="false">AM49*AM50</f>
        <v>0</v>
      </c>
      <c r="AN51" s="51" t="n">
        <f aca="false">AN49*AN50</f>
        <v>0</v>
      </c>
      <c r="AO51" s="51" t="n">
        <f aca="false">AO49*AO50</f>
        <v>0</v>
      </c>
      <c r="AP51" s="51" t="n">
        <f aca="false">AP49*AP50</f>
        <v>0</v>
      </c>
      <c r="AQ51" s="51" t="n">
        <f aca="false">AQ49*AQ50</f>
        <v>0</v>
      </c>
      <c r="AR51" s="51" t="n">
        <f aca="false">AR49*AR50</f>
        <v>0</v>
      </c>
      <c r="AS51" s="51" t="n">
        <f aca="false">AS49*AS50</f>
        <v>0</v>
      </c>
      <c r="AT51" s="51" t="n">
        <f aca="false">AT49*AT50</f>
        <v>0</v>
      </c>
      <c r="AU51" s="51" t="n">
        <f aca="false">AU49*AU50</f>
        <v>0</v>
      </c>
      <c r="AV51" s="51" t="n">
        <f aca="false">AV49*AV50</f>
        <v>0</v>
      </c>
      <c r="AW51" s="51" t="n">
        <f aca="false">AW49*AW50</f>
        <v>0</v>
      </c>
      <c r="AX51" s="51" t="n">
        <f aca="false">AX49*AX50</f>
        <v>0</v>
      </c>
    </row>
    <row r="52" customFormat="false" ht="19.5" hidden="false" customHeight="true" outlineLevel="0" collapsed="false">
      <c r="A52" s="21" t="s">
        <v>456</v>
      </c>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row>
    <row r="53" customFormat="false" ht="18.75" hidden="false" customHeight="true" outlineLevel="0" collapsed="false">
      <c r="A53" s="14" t="s">
        <v>457</v>
      </c>
      <c r="B53" s="41" t="s">
        <v>67</v>
      </c>
      <c r="C53" s="51" t="n">
        <f aca="false">C35*OperatingHours*DieselPrice</f>
        <v>42480</v>
      </c>
      <c r="D53" s="51" t="n">
        <f aca="false">D35*OperatingHours*DieselPrice</f>
        <v>42480</v>
      </c>
      <c r="E53" s="51" t="n">
        <f aca="false">E35*OperatingHours*DieselPrice</f>
        <v>44640</v>
      </c>
      <c r="F53" s="51" t="n">
        <f aca="false">F35*OperatingHours*DieselPrice</f>
        <v>44640</v>
      </c>
      <c r="G53" s="51" t="n">
        <f aca="false">G35*OperatingHours*DieselPrice</f>
        <v>44640</v>
      </c>
      <c r="H53" s="51" t="n">
        <f aca="false">H35*OperatingHours*DieselPrice</f>
        <v>44640</v>
      </c>
      <c r="I53" s="51" t="n">
        <f aca="false">I35*OperatingHours*DieselPrice</f>
        <v>44640</v>
      </c>
      <c r="J53" s="51" t="n">
        <f aca="false">J35*OperatingHours*DieselPrice</f>
        <v>0</v>
      </c>
      <c r="K53" s="51" t="n">
        <f aca="false">K35*OperatingHours*DieselPrice</f>
        <v>0</v>
      </c>
      <c r="L53" s="51" t="n">
        <f aca="false">L35*OperatingHours*DieselPrice</f>
        <v>0</v>
      </c>
      <c r="M53" s="51" t="n">
        <f aca="false">M35*OperatingHours*DieselPrice</f>
        <v>0</v>
      </c>
      <c r="N53" s="51" t="n">
        <f aca="false">N35*OperatingHours*DieselPrice</f>
        <v>0</v>
      </c>
      <c r="O53" s="51" t="n">
        <f aca="false">O35*OperatingHours*DieselPrice</f>
        <v>0</v>
      </c>
      <c r="P53" s="51" t="n">
        <f aca="false">P35*OperatingHours*DieselPrice</f>
        <v>0</v>
      </c>
      <c r="Q53" s="51" t="n">
        <f aca="false">Q35*OperatingHours*DieselPrice</f>
        <v>48960</v>
      </c>
      <c r="R53" s="51" t="n">
        <f aca="false">R35*OperatingHours*DieselPrice</f>
        <v>48960</v>
      </c>
      <c r="S53" s="51" t="n">
        <f aca="false">S35*OperatingHours*DieselPrice</f>
        <v>0</v>
      </c>
      <c r="T53" s="51" t="n">
        <f aca="false">T35*OperatingHours*DieselPrice</f>
        <v>48960</v>
      </c>
      <c r="U53" s="51" t="n">
        <f aca="false">U35*OperatingHours*DieselPrice</f>
        <v>0</v>
      </c>
      <c r="V53" s="51" t="n">
        <f aca="false">V35*OperatingHours*DieselPrice</f>
        <v>0</v>
      </c>
      <c r="W53" s="51" t="n">
        <f aca="false">W35*OperatingHours*DieselPrice</f>
        <v>48960</v>
      </c>
      <c r="X53" s="51" t="n">
        <f aca="false">X35*OperatingHours*DieselPrice</f>
        <v>48960</v>
      </c>
      <c r="Y53" s="51" t="n">
        <f aca="false">Y35*OperatingHours*DieselPrice</f>
        <v>0</v>
      </c>
      <c r="Z53" s="51" t="n">
        <f aca="false">Z35*OperatingHours*DieselPrice</f>
        <v>0</v>
      </c>
      <c r="AA53" s="51" t="n">
        <f aca="false">AA35*OperatingHours*DieselPrice</f>
        <v>0</v>
      </c>
      <c r="AB53" s="51" t="n">
        <f aca="false">AB35*OperatingHours*DieselPrice</f>
        <v>0</v>
      </c>
      <c r="AC53" s="51" t="n">
        <f aca="false">AC35*OperatingHours*DieselPrice</f>
        <v>52200</v>
      </c>
      <c r="AD53" s="51" t="n">
        <f aca="false">AD35*OperatingHours*DieselPrice</f>
        <v>52200</v>
      </c>
      <c r="AE53" s="51" t="n">
        <f aca="false">AE35*OperatingHours*DieselPrice</f>
        <v>52200</v>
      </c>
      <c r="AF53" s="51" t="n">
        <f aca="false">AF35*OperatingHours*DieselPrice</f>
        <v>0</v>
      </c>
      <c r="AG53" s="51" t="n">
        <f aca="false">AG35*OperatingHours*DieselPrice</f>
        <v>48960</v>
      </c>
      <c r="AH53" s="51" t="n">
        <f aca="false">AH35*OperatingHours*DieselPrice</f>
        <v>48960</v>
      </c>
      <c r="AI53" s="51" t="n">
        <f aca="false">AI35*OperatingHours*DieselPrice</f>
        <v>0</v>
      </c>
      <c r="AJ53" s="51" t="n">
        <f aca="false">AJ35*OperatingHours*DieselPrice</f>
        <v>0</v>
      </c>
      <c r="AK53" s="51" t="n">
        <f aca="false">AK35*OperatingHours*DieselPrice</f>
        <v>0</v>
      </c>
      <c r="AL53" s="51" t="n">
        <f aca="false">AL35*OperatingHours*DieselPrice</f>
        <v>0</v>
      </c>
      <c r="AM53" s="51" t="n">
        <f aca="false">AM35*OperatingHours*DieselPrice</f>
        <v>0</v>
      </c>
      <c r="AN53" s="51" t="n">
        <f aca="false">AN35*OperatingHours*DieselPrice</f>
        <v>0</v>
      </c>
      <c r="AO53" s="51" t="n">
        <f aca="false">AO35*OperatingHours*DieselPrice</f>
        <v>55080</v>
      </c>
      <c r="AP53" s="51" t="n">
        <f aca="false">AP35*OperatingHours*DieselPrice</f>
        <v>0</v>
      </c>
      <c r="AQ53" s="51" t="n">
        <f aca="false">AQ35*OperatingHours*DieselPrice</f>
        <v>0</v>
      </c>
      <c r="AR53" s="51" t="n">
        <f aca="false">AR35*OperatingHours*DieselPrice</f>
        <v>46800</v>
      </c>
      <c r="AS53" s="51" t="n">
        <f aca="false">AS35*OperatingHours*DieselPrice</f>
        <v>46800</v>
      </c>
      <c r="AT53" s="51" t="n">
        <f aca="false">AT35*OperatingHours*DieselPrice</f>
        <v>0</v>
      </c>
      <c r="AU53" s="51" t="n">
        <f aca="false">AU35*OperatingHours*DieselPrice</f>
        <v>37800</v>
      </c>
      <c r="AV53" s="51" t="n">
        <f aca="false">AV35*OperatingHours*DieselPrice</f>
        <v>58680</v>
      </c>
      <c r="AW53" s="51" t="n">
        <f aca="false">AW35*OperatingHours*DieselPrice</f>
        <v>46800</v>
      </c>
      <c r="AX53" s="51" t="n">
        <f aca="false">AX35*OperatingHours*DieselPrice</f>
        <v>46800</v>
      </c>
    </row>
    <row r="54" customFormat="false" ht="18.75" hidden="false" customHeight="true" outlineLevel="0" collapsed="false">
      <c r="A54" s="14" t="s">
        <v>458</v>
      </c>
      <c r="B54" s="41" t="s">
        <v>67</v>
      </c>
      <c r="C54" s="51" t="n">
        <f aca="false">OperatingHours*(C36+C37)</f>
        <v>9000</v>
      </c>
      <c r="D54" s="51" t="n">
        <f aca="false">OperatingHours*(D36+D37)</f>
        <v>9000</v>
      </c>
      <c r="E54" s="51" t="n">
        <f aca="false">OperatingHours*(E36+E37)</f>
        <v>9000</v>
      </c>
      <c r="F54" s="51" t="n">
        <f aca="false">OperatingHours*(F36+F37)</f>
        <v>9000</v>
      </c>
      <c r="G54" s="51" t="n">
        <f aca="false">OperatingHours*(G36+G37)</f>
        <v>9000</v>
      </c>
      <c r="H54" s="51" t="n">
        <f aca="false">OperatingHours*(H36+H37)</f>
        <v>9000</v>
      </c>
      <c r="I54" s="51" t="n">
        <f aca="false">OperatingHours*(I36+I37)</f>
        <v>9000</v>
      </c>
      <c r="J54" s="51" t="n">
        <f aca="false">OperatingHours*(J36+J37)</f>
        <v>9000</v>
      </c>
      <c r="K54" s="51" t="n">
        <f aca="false">OperatingHours*(K36+K37)</f>
        <v>9000</v>
      </c>
      <c r="L54" s="51" t="n">
        <f aca="false">OperatingHours*(L36+L37)</f>
        <v>9000</v>
      </c>
      <c r="M54" s="51" t="n">
        <f aca="false">OperatingHours*(M36+M37)</f>
        <v>9000</v>
      </c>
      <c r="N54" s="51" t="n">
        <f aca="false">OperatingHours*(N36+N37)</f>
        <v>9000</v>
      </c>
      <c r="O54" s="51" t="n">
        <f aca="false">OperatingHours*(O36+O37)</f>
        <v>9000</v>
      </c>
      <c r="P54" s="51" t="n">
        <f aca="false">OperatingHours*(P36+P37)</f>
        <v>9000</v>
      </c>
      <c r="Q54" s="51" t="n">
        <f aca="false">OperatingHours*(Q36+Q37)</f>
        <v>9000</v>
      </c>
      <c r="R54" s="51" t="n">
        <f aca="false">OperatingHours*(R36+R37)</f>
        <v>9000</v>
      </c>
      <c r="S54" s="51" t="n">
        <f aca="false">OperatingHours*(S36+S37)</f>
        <v>9000</v>
      </c>
      <c r="T54" s="51" t="n">
        <f aca="false">OperatingHours*(T36+T37)</f>
        <v>9000</v>
      </c>
      <c r="U54" s="51" t="n">
        <f aca="false">OperatingHours*(U36+U37)</f>
        <v>9000</v>
      </c>
      <c r="V54" s="51" t="n">
        <f aca="false">OperatingHours*(V36+V37)</f>
        <v>9000</v>
      </c>
      <c r="W54" s="51" t="n">
        <f aca="false">OperatingHours*(W36+W37)</f>
        <v>9000</v>
      </c>
      <c r="X54" s="51" t="n">
        <f aca="false">OperatingHours*(X36+X37)</f>
        <v>9000</v>
      </c>
      <c r="Y54" s="51" t="n">
        <f aca="false">OperatingHours*(Y36+Y37)</f>
        <v>9000</v>
      </c>
      <c r="Z54" s="51" t="n">
        <f aca="false">OperatingHours*(Z36+Z37)</f>
        <v>9000</v>
      </c>
      <c r="AA54" s="51" t="n">
        <f aca="false">OperatingHours*(AA36+AA37)</f>
        <v>9000</v>
      </c>
      <c r="AB54" s="51" t="n">
        <f aca="false">OperatingHours*(AB36+AB37)</f>
        <v>9000</v>
      </c>
      <c r="AC54" s="51" t="n">
        <f aca="false">OperatingHours*(AC36+AC37)</f>
        <v>9000</v>
      </c>
      <c r="AD54" s="51" t="n">
        <f aca="false">OperatingHours*(AD36+AD37)</f>
        <v>9000</v>
      </c>
      <c r="AE54" s="51" t="n">
        <f aca="false">OperatingHours*(AE36+AE37)</f>
        <v>9000</v>
      </c>
      <c r="AF54" s="51" t="n">
        <f aca="false">OperatingHours*(AF36+AF37)</f>
        <v>9000</v>
      </c>
      <c r="AG54" s="51" t="n">
        <f aca="false">OperatingHours*(AG36+AG37)</f>
        <v>9000</v>
      </c>
      <c r="AH54" s="51" t="n">
        <f aca="false">OperatingHours*(AH36+AH37)</f>
        <v>9000</v>
      </c>
      <c r="AI54" s="51" t="n">
        <f aca="false">OperatingHours*(AI36+AI37)</f>
        <v>9000</v>
      </c>
      <c r="AJ54" s="51" t="n">
        <f aca="false">OperatingHours*(AJ36+AJ37)</f>
        <v>9000</v>
      </c>
      <c r="AK54" s="51" t="n">
        <f aca="false">OperatingHours*(AK36+AK37)</f>
        <v>9000</v>
      </c>
      <c r="AL54" s="51" t="n">
        <f aca="false">OperatingHours*(AL36+AL37)</f>
        <v>9000</v>
      </c>
      <c r="AM54" s="51" t="n">
        <f aca="false">OperatingHours*(AM36+AM37)</f>
        <v>9000</v>
      </c>
      <c r="AN54" s="51" t="n">
        <f aca="false">OperatingHours*(AN36+AN37)</f>
        <v>9000</v>
      </c>
      <c r="AO54" s="51" t="n">
        <f aca="false">OperatingHours*(AO36+AO37)</f>
        <v>9000</v>
      </c>
      <c r="AP54" s="51" t="n">
        <f aca="false">OperatingHours*(AP36+AP37)</f>
        <v>9000</v>
      </c>
      <c r="AQ54" s="51" t="n">
        <f aca="false">OperatingHours*(AQ36+AQ37)</f>
        <v>9000</v>
      </c>
      <c r="AR54" s="51" t="n">
        <f aca="false">OperatingHours*(AR36+AR37)</f>
        <v>9000</v>
      </c>
      <c r="AS54" s="51" t="n">
        <f aca="false">OperatingHours*(AS36+AS37)</f>
        <v>9000</v>
      </c>
      <c r="AT54" s="51" t="n">
        <f aca="false">OperatingHours*(AT36+AT37)</f>
        <v>9000</v>
      </c>
      <c r="AU54" s="51" t="n">
        <f aca="false">OperatingHours*(AU36+AU37)</f>
        <v>9000</v>
      </c>
      <c r="AV54" s="51" t="n">
        <f aca="false">OperatingHours*(AV36+AV37)</f>
        <v>9000</v>
      </c>
      <c r="AW54" s="51" t="n">
        <f aca="false">OperatingHours*(AW36+AW37)</f>
        <v>9000</v>
      </c>
      <c r="AX54" s="51" t="n">
        <f aca="false">OperatingHours*(AX36+AX37)</f>
        <v>9000</v>
      </c>
    </row>
    <row r="55" customFormat="false" ht="18.75" hidden="false" customHeight="true" outlineLevel="0" collapsed="false">
      <c r="A55" s="14" t="s">
        <v>459</v>
      </c>
      <c r="B55" s="41" t="s">
        <v>460</v>
      </c>
      <c r="C55" s="49" t="n">
        <f aca="false">IF(C39="NO",OperatingHours/JointInterval,0)</f>
        <v>0</v>
      </c>
      <c r="D55" s="49" t="n">
        <f aca="false">IF(D39="NO",OperatingHours/JointInterval,0)</f>
        <v>0</v>
      </c>
      <c r="E55" s="49" t="n">
        <f aca="false">IF(E39="NO",OperatingHours/JointInterval,0)</f>
        <v>0</v>
      </c>
      <c r="F55" s="49" t="n">
        <f aca="false">IF(F39="NO",OperatingHours/JointInterval,0)</f>
        <v>0</v>
      </c>
      <c r="G55" s="49" t="n">
        <f aca="false">IF(G39="NO",OperatingHours/JointInterval,0)</f>
        <v>0</v>
      </c>
      <c r="H55" s="49" t="n">
        <f aca="false">IF(H39="NO",OperatingHours/JointInterval,0)</f>
        <v>0</v>
      </c>
      <c r="I55" s="49" t="n">
        <f aca="false">IF(I39="NO",OperatingHours/JointInterval,0)</f>
        <v>0</v>
      </c>
      <c r="J55" s="49" t="n">
        <f aca="false">IF(J39="NO",OperatingHours/JointInterval,0)</f>
        <v>0</v>
      </c>
      <c r="K55" s="49" t="n">
        <f aca="false">IF(K39="NO",OperatingHours/JointInterval,0)</f>
        <v>0</v>
      </c>
      <c r="L55" s="49" t="n">
        <f aca="false">IF(L39="NO",OperatingHours/JointInterval,0)</f>
        <v>0</v>
      </c>
      <c r="M55" s="49" t="n">
        <f aca="false">IF(M39="NO",OperatingHours/JointInterval,0)</f>
        <v>60</v>
      </c>
      <c r="N55" s="49" t="n">
        <f aca="false">IF(N39="NO",OperatingHours/JointInterval,0)</f>
        <v>60</v>
      </c>
      <c r="O55" s="49" t="n">
        <f aca="false">IF(O39="NO",OperatingHours/JointInterval,0)</f>
        <v>60</v>
      </c>
      <c r="P55" s="49" t="n">
        <f aca="false">IF(P39="NO",OperatingHours/JointInterval,0)</f>
        <v>60</v>
      </c>
      <c r="Q55" s="49" t="n">
        <f aca="false">IF(Q39="NO",OperatingHours/JointInterval,0)</f>
        <v>60</v>
      </c>
      <c r="R55" s="49" t="n">
        <f aca="false">IF(R39="NO",OperatingHours/JointInterval,0)</f>
        <v>60</v>
      </c>
      <c r="S55" s="49" t="n">
        <f aca="false">IF(S39="NO",OperatingHours/JointInterval,0)</f>
        <v>60</v>
      </c>
      <c r="T55" s="49" t="n">
        <f aca="false">IF(T39="NO",OperatingHours/JointInterval,0)</f>
        <v>60</v>
      </c>
      <c r="U55" s="49" t="n">
        <f aca="false">IF(U39="NO",OperatingHours/JointInterval,0)</f>
        <v>60</v>
      </c>
      <c r="V55" s="49" t="n">
        <f aca="false">IF(V39="NO",OperatingHours/JointInterval,0)</f>
        <v>60</v>
      </c>
      <c r="W55" s="49" t="n">
        <f aca="false">IF(W39="NO",OperatingHours/JointInterval,0)</f>
        <v>60</v>
      </c>
      <c r="X55" s="49" t="n">
        <f aca="false">IF(X39="NO",OperatingHours/JointInterval,0)</f>
        <v>60</v>
      </c>
      <c r="Y55" s="49" t="n">
        <f aca="false">IF(Y39="NO",OperatingHours/JointInterval,0)</f>
        <v>60</v>
      </c>
      <c r="Z55" s="49" t="n">
        <f aca="false">IF(Z39="NO",OperatingHours/JointInterval,0)</f>
        <v>60</v>
      </c>
      <c r="AA55" s="49" t="n">
        <f aca="false">IF(AA39="NO",OperatingHours/JointInterval,0)</f>
        <v>60</v>
      </c>
      <c r="AB55" s="49" t="n">
        <f aca="false">IF(AB39="NO",OperatingHours/JointInterval,0)</f>
        <v>60</v>
      </c>
      <c r="AC55" s="49" t="n">
        <f aca="false">IF(AC39="NO",OperatingHours/JointInterval,0)</f>
        <v>60</v>
      </c>
      <c r="AD55" s="49" t="n">
        <f aca="false">IF(AD39="NO",OperatingHours/JointInterval,0)</f>
        <v>60</v>
      </c>
      <c r="AE55" s="49" t="n">
        <f aca="false">IF(AE39="NO",OperatingHours/JointInterval,0)</f>
        <v>60</v>
      </c>
      <c r="AF55" s="49" t="n">
        <f aca="false">IF(AF39="NO",OperatingHours/JointInterval,0)</f>
        <v>60</v>
      </c>
      <c r="AG55" s="49" t="n">
        <f aca="false">IF(AG39="NO",OperatingHours/JointInterval,0)</f>
        <v>60</v>
      </c>
      <c r="AH55" s="49" t="n">
        <f aca="false">IF(AH39="NO",OperatingHours/JointInterval,0)</f>
        <v>60</v>
      </c>
      <c r="AI55" s="49" t="n">
        <f aca="false">IF(AI39="NO",OperatingHours/JointInterval,0)</f>
        <v>60</v>
      </c>
      <c r="AJ55" s="49" t="n">
        <f aca="false">IF(AJ39="NO",OperatingHours/JointInterval,0)</f>
        <v>60</v>
      </c>
      <c r="AK55" s="49" t="n">
        <f aca="false">IF(AK39="NO",OperatingHours/JointInterval,0)</f>
        <v>60</v>
      </c>
      <c r="AL55" s="49" t="n">
        <f aca="false">IF(AL39="NO",OperatingHours/JointInterval,0)</f>
        <v>60</v>
      </c>
      <c r="AM55" s="49" t="n">
        <f aca="false">IF(AM39="NO",OperatingHours/JointInterval,0)</f>
        <v>60</v>
      </c>
      <c r="AN55" s="49" t="n">
        <f aca="false">IF(AN39="NO",OperatingHours/JointInterval,0)</f>
        <v>60</v>
      </c>
      <c r="AO55" s="49" t="n">
        <f aca="false">IF(AO39="NO",OperatingHours/JointInterval,0)</f>
        <v>60</v>
      </c>
      <c r="AP55" s="49" t="n">
        <f aca="false">IF(AP39="NO",OperatingHours/JointInterval,0)</f>
        <v>60</v>
      </c>
      <c r="AQ55" s="49" t="n">
        <f aca="false">IF(AQ39="NO",OperatingHours/JointInterval,0)</f>
        <v>60</v>
      </c>
      <c r="AR55" s="49" t="n">
        <f aca="false">IF(AR39="NO",OperatingHours/JointInterval,0)</f>
        <v>60</v>
      </c>
      <c r="AS55" s="49" t="n">
        <f aca="false">IF(AS39="NO",OperatingHours/JointInterval,0)</f>
        <v>60</v>
      </c>
      <c r="AT55" s="49" t="n">
        <f aca="false">IF(AT39="NO",OperatingHours/JointInterval,0)</f>
        <v>60</v>
      </c>
      <c r="AU55" s="49" t="n">
        <f aca="false">IF(AU39="NO",OperatingHours/JointInterval,0)</f>
        <v>60</v>
      </c>
      <c r="AV55" s="49" t="n">
        <f aca="false">IF(AV39="NO",OperatingHours/JointInterval,0)</f>
        <v>60</v>
      </c>
      <c r="AW55" s="49" t="n">
        <f aca="false">IF(AW39="NO",OperatingHours/JointInterval,0)</f>
        <v>60</v>
      </c>
      <c r="AX55" s="49" t="n">
        <f aca="false">IF(AX39="NO",OperatingHours/JointInterval,0)</f>
        <v>60</v>
      </c>
    </row>
    <row r="56" customFormat="false" ht="18.75" hidden="false" customHeight="true" outlineLevel="0" collapsed="false">
      <c r="A56" s="14" t="s">
        <v>461</v>
      </c>
      <c r="B56" s="41" t="s">
        <v>67</v>
      </c>
      <c r="C56" s="51" t="n">
        <f aca="false">C55*JointHoursPerJob*(JointTechRate+JointIdleRate)+C55*JointGrease</f>
        <v>0</v>
      </c>
      <c r="D56" s="51" t="n">
        <f aca="false">D55*JointHoursPerJob*(JointTechRate+JointIdleRate)+D55*JointGrease</f>
        <v>0</v>
      </c>
      <c r="E56" s="51" t="n">
        <f aca="false">E55*JointHoursPerJob*(JointTechRate+JointIdleRate)+E55*JointGrease</f>
        <v>0</v>
      </c>
      <c r="F56" s="51" t="n">
        <f aca="false">F55*JointHoursPerJob*(JointTechRate+JointIdleRate)+F55*JointGrease</f>
        <v>0</v>
      </c>
      <c r="G56" s="51" t="n">
        <f aca="false">G55*JointHoursPerJob*(JointTechRate+JointIdleRate)+G55*JointGrease</f>
        <v>0</v>
      </c>
      <c r="H56" s="51" t="n">
        <f aca="false">H55*JointHoursPerJob*(JointTechRate+JointIdleRate)+H55*JointGrease</f>
        <v>0</v>
      </c>
      <c r="I56" s="51" t="n">
        <f aca="false">I55*JointHoursPerJob*(JointTechRate+JointIdleRate)+I55*JointGrease</f>
        <v>0</v>
      </c>
      <c r="J56" s="51" t="n">
        <f aca="false">J55*JointHoursPerJob*(JointTechRate+JointIdleRate)+J55*JointGrease</f>
        <v>0</v>
      </c>
      <c r="K56" s="51" t="n">
        <f aca="false">K55*JointHoursPerJob*(JointTechRate+JointIdleRate)+K55*JointGrease</f>
        <v>0</v>
      </c>
      <c r="L56" s="51" t="n">
        <f aca="false">L55*JointHoursPerJob*(JointTechRate+JointIdleRate)+L55*JointGrease</f>
        <v>0</v>
      </c>
      <c r="M56" s="51" t="n">
        <f aca="false">M55*JointHoursPerJob*(JointTechRate+JointIdleRate)+M55*JointGrease</f>
        <v>5550</v>
      </c>
      <c r="N56" s="51" t="n">
        <f aca="false">N55*JointHoursPerJob*(JointTechRate+JointIdleRate)+N55*JointGrease</f>
        <v>5550</v>
      </c>
      <c r="O56" s="51" t="n">
        <f aca="false">O55*JointHoursPerJob*(JointTechRate+JointIdleRate)+O55*JointGrease</f>
        <v>5550</v>
      </c>
      <c r="P56" s="51" t="n">
        <f aca="false">P55*JointHoursPerJob*(JointTechRate+JointIdleRate)+P55*JointGrease</f>
        <v>5550</v>
      </c>
      <c r="Q56" s="51" t="n">
        <f aca="false">Q55*JointHoursPerJob*(JointTechRate+JointIdleRate)+Q55*JointGrease</f>
        <v>5550</v>
      </c>
      <c r="R56" s="51" t="n">
        <f aca="false">R55*JointHoursPerJob*(JointTechRate+JointIdleRate)+R55*JointGrease</f>
        <v>5550</v>
      </c>
      <c r="S56" s="51" t="n">
        <f aca="false">S55*JointHoursPerJob*(JointTechRate+JointIdleRate)+S55*JointGrease</f>
        <v>5550</v>
      </c>
      <c r="T56" s="51" t="n">
        <f aca="false">T55*JointHoursPerJob*(JointTechRate+JointIdleRate)+T55*JointGrease</f>
        <v>5550</v>
      </c>
      <c r="U56" s="51" t="n">
        <f aca="false">U55*JointHoursPerJob*(JointTechRate+JointIdleRate)+U55*JointGrease</f>
        <v>5550</v>
      </c>
      <c r="V56" s="51" t="n">
        <f aca="false">V55*JointHoursPerJob*(JointTechRate+JointIdleRate)+V55*JointGrease</f>
        <v>5550</v>
      </c>
      <c r="W56" s="51" t="n">
        <f aca="false">W55*JointHoursPerJob*(JointTechRate+JointIdleRate)+W55*JointGrease</f>
        <v>5550</v>
      </c>
      <c r="X56" s="51" t="n">
        <f aca="false">X55*JointHoursPerJob*(JointTechRate+JointIdleRate)+X55*JointGrease</f>
        <v>5550</v>
      </c>
      <c r="Y56" s="51" t="n">
        <f aca="false">Y55*JointHoursPerJob*(JointTechRate+JointIdleRate)+Y55*JointGrease</f>
        <v>5550</v>
      </c>
      <c r="Z56" s="51" t="n">
        <f aca="false">Z55*JointHoursPerJob*(JointTechRate+JointIdleRate)+Z55*JointGrease</f>
        <v>5550</v>
      </c>
      <c r="AA56" s="51" t="n">
        <f aca="false">AA55*JointHoursPerJob*(JointTechRate+JointIdleRate)+AA55*JointGrease</f>
        <v>5550</v>
      </c>
      <c r="AB56" s="51" t="n">
        <f aca="false">AB55*JointHoursPerJob*(JointTechRate+JointIdleRate)+AB55*JointGrease</f>
        <v>5550</v>
      </c>
      <c r="AC56" s="51" t="n">
        <f aca="false">AC55*JointHoursPerJob*(JointTechRate+JointIdleRate)+AC55*JointGrease</f>
        <v>5550</v>
      </c>
      <c r="AD56" s="51" t="n">
        <f aca="false">AD55*JointHoursPerJob*(JointTechRate+JointIdleRate)+AD55*JointGrease</f>
        <v>5550</v>
      </c>
      <c r="AE56" s="51" t="n">
        <f aca="false">AE55*JointHoursPerJob*(JointTechRate+JointIdleRate)+AE55*JointGrease</f>
        <v>5550</v>
      </c>
      <c r="AF56" s="51" t="n">
        <f aca="false">AF55*JointHoursPerJob*(JointTechRate+JointIdleRate)+AF55*JointGrease</f>
        <v>5550</v>
      </c>
      <c r="AG56" s="51" t="n">
        <f aca="false">AG55*JointHoursPerJob*(JointTechRate+JointIdleRate)+AG55*JointGrease</f>
        <v>5550</v>
      </c>
      <c r="AH56" s="51" t="n">
        <f aca="false">AH55*JointHoursPerJob*(JointTechRate+JointIdleRate)+AH55*JointGrease</f>
        <v>5550</v>
      </c>
      <c r="AI56" s="51" t="n">
        <f aca="false">AI55*JointHoursPerJob*(JointTechRate+JointIdleRate)+AI55*JointGrease</f>
        <v>5550</v>
      </c>
      <c r="AJ56" s="51" t="n">
        <f aca="false">AJ55*JointHoursPerJob*(JointTechRate+JointIdleRate)+AJ55*JointGrease</f>
        <v>5550</v>
      </c>
      <c r="AK56" s="51" t="n">
        <f aca="false">AK55*JointHoursPerJob*(JointTechRate+JointIdleRate)+AK55*JointGrease</f>
        <v>5550</v>
      </c>
      <c r="AL56" s="51" t="n">
        <f aca="false">AL55*JointHoursPerJob*(JointTechRate+JointIdleRate)+AL55*JointGrease</f>
        <v>5550</v>
      </c>
      <c r="AM56" s="51" t="n">
        <f aca="false">AM55*JointHoursPerJob*(JointTechRate+JointIdleRate)+AM55*JointGrease</f>
        <v>5550</v>
      </c>
      <c r="AN56" s="51" t="n">
        <f aca="false">AN55*JointHoursPerJob*(JointTechRate+JointIdleRate)+AN55*JointGrease</f>
        <v>5550</v>
      </c>
      <c r="AO56" s="51" t="n">
        <f aca="false">AO55*JointHoursPerJob*(JointTechRate+JointIdleRate)+AO55*JointGrease</f>
        <v>5550</v>
      </c>
      <c r="AP56" s="51" t="n">
        <f aca="false">AP55*JointHoursPerJob*(JointTechRate+JointIdleRate)+AP55*JointGrease</f>
        <v>5550</v>
      </c>
      <c r="AQ56" s="51" t="n">
        <f aca="false">AQ55*JointHoursPerJob*(JointTechRate+JointIdleRate)+AQ55*JointGrease</f>
        <v>5550</v>
      </c>
      <c r="AR56" s="51" t="n">
        <f aca="false">AR55*JointHoursPerJob*(JointTechRate+JointIdleRate)+AR55*JointGrease</f>
        <v>5550</v>
      </c>
      <c r="AS56" s="51" t="n">
        <f aca="false">AS55*JointHoursPerJob*(JointTechRate+JointIdleRate)+AS55*JointGrease</f>
        <v>5550</v>
      </c>
      <c r="AT56" s="51" t="n">
        <f aca="false">AT55*JointHoursPerJob*(JointTechRate+JointIdleRate)+AT55*JointGrease</f>
        <v>5550</v>
      </c>
      <c r="AU56" s="51" t="n">
        <f aca="false">AU55*JointHoursPerJob*(JointTechRate+JointIdleRate)+AU55*JointGrease</f>
        <v>5550</v>
      </c>
      <c r="AV56" s="51" t="n">
        <f aca="false">AV55*JointHoursPerJob*(JointTechRate+JointIdleRate)+AV55*JointGrease</f>
        <v>5550</v>
      </c>
      <c r="AW56" s="51" t="n">
        <f aca="false">AW55*JointHoursPerJob*(JointTechRate+JointIdleRate)+AW55*JointGrease</f>
        <v>5550</v>
      </c>
      <c r="AX56" s="51" t="n">
        <f aca="false">AX55*JointHoursPerJob*(JointTechRate+JointIdleRate)+AX55*JointGrease</f>
        <v>5550</v>
      </c>
    </row>
    <row r="57" customFormat="false" ht="19.5" hidden="false" customHeight="true" outlineLevel="0" collapsed="false">
      <c r="A57" s="21" t="s">
        <v>462</v>
      </c>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row>
    <row r="58" customFormat="false" ht="18.75" hidden="false" customHeight="true" outlineLevel="0" collapsed="false">
      <c r="A58" s="52" t="s">
        <v>463</v>
      </c>
      <c r="B58" s="53" t="s">
        <v>67</v>
      </c>
      <c r="C58" s="54" t="n">
        <f aca="false">C34+C53+C54+C56-C38</f>
        <v>109072.78</v>
      </c>
      <c r="D58" s="54" t="n">
        <f aca="false">D34+D53+D54+D56-D38</f>
        <v>110854</v>
      </c>
      <c r="E58" s="54" t="n">
        <f aca="false">E34+E53+E54+E56-E38</f>
        <v>117170.18</v>
      </c>
      <c r="F58" s="54" t="n">
        <f aca="false">F34+F53+F54+F56-F38</f>
        <v>120140</v>
      </c>
      <c r="G58" s="54" t="n">
        <f aca="false">G34+G53+G54+G56-G38</f>
        <v>122324</v>
      </c>
      <c r="H58" s="54" t="n">
        <f aca="false">H34+H53+H54+H56-H38</f>
        <v>126588</v>
      </c>
      <c r="I58" s="54" t="n">
        <f aca="false">I34+I53+I54+I56-I38</f>
        <v>126588</v>
      </c>
      <c r="J58" s="54" t="n">
        <f aca="false">J34+J53+J54+J56-J38</f>
        <v>9000</v>
      </c>
      <c r="K58" s="54" t="n">
        <f aca="false">K34+K53+K54+K56-K38</f>
        <v>9000</v>
      </c>
      <c r="L58" s="54" t="n">
        <f aca="false">L34+L53+L54+L56-L38</f>
        <v>9000</v>
      </c>
      <c r="M58" s="54" t="n">
        <f aca="false">M34+M53+M54+M56-M38</f>
        <v>14550</v>
      </c>
      <c r="N58" s="54" t="n">
        <f aca="false">N34+N53+N54+N56-N38</f>
        <v>14550</v>
      </c>
      <c r="O58" s="54" t="n">
        <f aca="false">O34+O53+O54+O56-O38</f>
        <v>14550</v>
      </c>
      <c r="P58" s="54" t="n">
        <f aca="false">P34+P53+P54+P56-P38</f>
        <v>14550</v>
      </c>
      <c r="Q58" s="54" t="n">
        <f aca="false">Q34+Q53+Q54+Q56-Q38</f>
        <v>153510</v>
      </c>
      <c r="R58" s="54" t="n">
        <f aca="false">R34+R53+R54+R56-R38</f>
        <v>153510</v>
      </c>
      <c r="S58" s="54" t="n">
        <f aca="false">S34+S53+S54+S56-S38</f>
        <v>14550</v>
      </c>
      <c r="T58" s="54" t="n">
        <f aca="false">T34+T53+T54+T56-T38</f>
        <v>153510</v>
      </c>
      <c r="U58" s="54" t="n">
        <f aca="false">U34+U53+U54+U56-U38</f>
        <v>14550</v>
      </c>
      <c r="V58" s="54" t="n">
        <f aca="false">V34+V53+V54+V56-V38</f>
        <v>14550</v>
      </c>
      <c r="W58" s="54" t="n">
        <f aca="false">W34+W53+W54+W56-W38</f>
        <v>155355.1</v>
      </c>
      <c r="X58" s="54" t="n">
        <f aca="false">X34+X53+X54+X56-X38</f>
        <v>155355.1</v>
      </c>
      <c r="Y58" s="54" t="n">
        <f aca="false">Y34+Y53+Y54+Y56-Y38</f>
        <v>14550</v>
      </c>
      <c r="Z58" s="54" t="n">
        <f aca="false">Z34+Z53+Z54+Z56-Z38</f>
        <v>14550</v>
      </c>
      <c r="AA58" s="54" t="n">
        <f aca="false">AA34+AA53+AA54+AA56-AA38</f>
        <v>14550</v>
      </c>
      <c r="AB58" s="54" t="n">
        <f aca="false">AB34+AB53+AB54+AB56-AB38</f>
        <v>14550</v>
      </c>
      <c r="AC58" s="54" t="n">
        <f aca="false">AC34+AC53+AC54+AC56-AC38</f>
        <v>172048.85</v>
      </c>
      <c r="AD58" s="54" t="n">
        <f aca="false">AD34+AD53+AD54+AD56-AD38</f>
        <v>172048.85</v>
      </c>
      <c r="AE58" s="54" t="n">
        <f aca="false">AE34+AE53+AE54+AE56-AE38</f>
        <v>172048.85</v>
      </c>
      <c r="AF58" s="54" t="n">
        <f aca="false">AF34+AF53+AF54+AF56-AF38</f>
        <v>14550</v>
      </c>
      <c r="AG58" s="54" t="n">
        <f aca="false">AG34+AG53+AG54+AG56-AG38</f>
        <v>118296</v>
      </c>
      <c r="AH58" s="54" t="n">
        <f aca="false">AH34+AH53+AH54+AH56-AH38</f>
        <v>118296</v>
      </c>
      <c r="AI58" s="54" t="n">
        <f aca="false">AI34+AI53+AI54+AI56-AI38</f>
        <v>14550</v>
      </c>
      <c r="AJ58" s="54" t="n">
        <f aca="false">AJ34+AJ53+AJ54+AJ56-AJ38</f>
        <v>14550</v>
      </c>
      <c r="AK58" s="54" t="n">
        <f aca="false">AK34+AK53+AK54+AK56-AK38</f>
        <v>14550</v>
      </c>
      <c r="AL58" s="54" t="n">
        <f aca="false">AL34+AL53+AL54+AL56-AL38</f>
        <v>14550</v>
      </c>
      <c r="AM58" s="54" t="n">
        <f aca="false">AM34+AM53+AM54+AM56-AM38</f>
        <v>14550</v>
      </c>
      <c r="AN58" s="54" t="n">
        <f aca="false">AN34+AN53+AN54+AN56-AN38</f>
        <v>14550</v>
      </c>
      <c r="AO58" s="54" t="n">
        <f aca="false">AO34+AO53+AO54+AO56-AO38</f>
        <v>126022</v>
      </c>
      <c r="AP58" s="54" t="n">
        <f aca="false">AP34+AP53+AP54+AP56-AP38</f>
        <v>14550</v>
      </c>
      <c r="AQ58" s="54" t="n">
        <f aca="false">AQ34+AQ53+AQ54+AQ56-AQ38</f>
        <v>14550</v>
      </c>
      <c r="AR58" s="54" t="n">
        <f aca="false">AR34+AR53+AR54+AR56-AR38</f>
        <v>145426</v>
      </c>
      <c r="AS58" s="54" t="n">
        <f aca="false">AS34+AS53+AS54+AS56-AS38</f>
        <v>145426</v>
      </c>
      <c r="AT58" s="54" t="n">
        <f aca="false">AT34+AT53+AT54+AT56-AT38</f>
        <v>14550</v>
      </c>
      <c r="AU58" s="54" t="n">
        <f aca="false">AU34+AU53+AU54+AU56-AU38</f>
        <v>123950</v>
      </c>
      <c r="AV58" s="54" t="n">
        <f aca="false">AV34+AV53+AV54+AV56-AV38</f>
        <v>163160</v>
      </c>
      <c r="AW58" s="54" t="n">
        <f aca="false">AW34+AW53+AW54+AW56-AW38</f>
        <v>145426</v>
      </c>
      <c r="AX58" s="54" t="n">
        <f aca="false">AX34+AX53+AX54+AX56-AX38</f>
        <v>145426</v>
      </c>
    </row>
    <row r="59" customFormat="false" ht="18.75" hidden="false" customHeight="true" outlineLevel="0" collapsed="false">
      <c r="A59" s="14" t="s">
        <v>464</v>
      </c>
      <c r="B59" s="41" t="s">
        <v>437</v>
      </c>
      <c r="C59" s="50" t="n">
        <f aca="false">C50+IF(C55&gt;0,(JointHoursPerJob*(JointTechRate+JointIdleRate)+JointGrease)/JointInterval,0)</f>
        <v>17.16</v>
      </c>
      <c r="D59" s="50" t="n">
        <f aca="false">D50+IF(D55&gt;0,(JointHoursPerJob*(JointTechRate+JointIdleRate)+JointGrease)/JointInterval,0)</f>
        <v>17.16</v>
      </c>
      <c r="E59" s="50" t="n">
        <f aca="false">E50+IF(E55&gt;0,(JointHoursPerJob*(JointTechRate+JointIdleRate)+JointGrease)/JointInterval,0)</f>
        <v>17.88</v>
      </c>
      <c r="F59" s="50" t="n">
        <f aca="false">F50+IF(F55&gt;0,(JointHoursPerJob*(JointTechRate+JointIdleRate)+JointGrease)/JointInterval,0)</f>
        <v>17.88</v>
      </c>
      <c r="G59" s="50" t="n">
        <f aca="false">G50+IF(G55&gt;0,(JointHoursPerJob*(JointTechRate+JointIdleRate)+JointGrease)/JointInterval,0)</f>
        <v>17.88</v>
      </c>
      <c r="H59" s="50" t="n">
        <f aca="false">H50+IF(H55&gt;0,(JointHoursPerJob*(JointTechRate+JointIdleRate)+JointGrease)/JointInterval,0)</f>
        <v>17.88</v>
      </c>
      <c r="I59" s="50" t="n">
        <f aca="false">I50+IF(I55&gt;0,(JointHoursPerJob*(JointTechRate+JointIdleRate)+JointGrease)/JointInterval,0)</f>
        <v>17.88</v>
      </c>
      <c r="J59" s="50" t="n">
        <f aca="false">J50+IF(J55&gt;0,(JointHoursPerJob*(JointTechRate+JointIdleRate)+JointGrease)/JointInterval,0)</f>
        <v>3</v>
      </c>
      <c r="K59" s="50" t="n">
        <f aca="false">K50+IF(K55&gt;0,(JointHoursPerJob*(JointTechRate+JointIdleRate)+JointGrease)/JointInterval,0)</f>
        <v>3</v>
      </c>
      <c r="L59" s="50" t="n">
        <f aca="false">L50+IF(L55&gt;0,(JointHoursPerJob*(JointTechRate+JointIdleRate)+JointGrease)/JointInterval,0)</f>
        <v>3</v>
      </c>
      <c r="M59" s="50" t="n">
        <f aca="false">M50+IF(M55&gt;0,(JointHoursPerJob*(JointTechRate+JointIdleRate)+JointGrease)/JointInterval,0)</f>
        <v>4.85</v>
      </c>
      <c r="N59" s="50" t="n">
        <f aca="false">N50+IF(N55&gt;0,(JointHoursPerJob*(JointTechRate+JointIdleRate)+JointGrease)/JointInterval,0)</f>
        <v>4.85</v>
      </c>
      <c r="O59" s="50" t="n">
        <f aca="false">O50+IF(O55&gt;0,(JointHoursPerJob*(JointTechRate+JointIdleRate)+JointGrease)/JointInterval,0)</f>
        <v>4.85</v>
      </c>
      <c r="P59" s="50" t="n">
        <f aca="false">P50+IF(P55&gt;0,(JointHoursPerJob*(JointTechRate+JointIdleRate)+JointGrease)/JointInterval,0)</f>
        <v>4.85</v>
      </c>
      <c r="Q59" s="50" t="n">
        <f aca="false">Q50+IF(Q55&gt;0,(JointHoursPerJob*(JointTechRate+JointIdleRate)+JointGrease)/JointInterval,0)</f>
        <v>21.17</v>
      </c>
      <c r="R59" s="50" t="n">
        <f aca="false">R50+IF(R55&gt;0,(JointHoursPerJob*(JointTechRate+JointIdleRate)+JointGrease)/JointInterval,0)</f>
        <v>21.17</v>
      </c>
      <c r="S59" s="50" t="n">
        <f aca="false">S50+IF(S55&gt;0,(JointHoursPerJob*(JointTechRate+JointIdleRate)+JointGrease)/JointInterval,0)</f>
        <v>4.85</v>
      </c>
      <c r="T59" s="50" t="n">
        <f aca="false">T50+IF(T55&gt;0,(JointHoursPerJob*(JointTechRate+JointIdleRate)+JointGrease)/JointInterval,0)</f>
        <v>21.17</v>
      </c>
      <c r="U59" s="50" t="n">
        <f aca="false">U50+IF(U55&gt;0,(JointHoursPerJob*(JointTechRate+JointIdleRate)+JointGrease)/JointInterval,0)</f>
        <v>4.85</v>
      </c>
      <c r="V59" s="50" t="n">
        <f aca="false">V50+IF(V55&gt;0,(JointHoursPerJob*(JointTechRate+JointIdleRate)+JointGrease)/JointInterval,0)</f>
        <v>4.85</v>
      </c>
      <c r="W59" s="50" t="n">
        <f aca="false">W50+IF(W55&gt;0,(JointHoursPerJob*(JointTechRate+JointIdleRate)+JointGrease)/JointInterval,0)</f>
        <v>21.17</v>
      </c>
      <c r="X59" s="50" t="n">
        <f aca="false">X50+IF(X55&gt;0,(JointHoursPerJob*(JointTechRate+JointIdleRate)+JointGrease)/JointInterval,0)</f>
        <v>21.17</v>
      </c>
      <c r="Y59" s="50" t="n">
        <f aca="false">Y50+IF(Y55&gt;0,(JointHoursPerJob*(JointTechRate+JointIdleRate)+JointGrease)/JointInterval,0)</f>
        <v>4.85</v>
      </c>
      <c r="Z59" s="50" t="n">
        <f aca="false">Z50+IF(Z55&gt;0,(JointHoursPerJob*(JointTechRate+JointIdleRate)+JointGrease)/JointInterval,0)</f>
        <v>4.85</v>
      </c>
      <c r="AA59" s="50" t="n">
        <f aca="false">AA50+IF(AA55&gt;0,(JointHoursPerJob*(JointTechRate+JointIdleRate)+JointGrease)/JointInterval,0)</f>
        <v>4.85</v>
      </c>
      <c r="AB59" s="50" t="n">
        <f aca="false">AB50+IF(AB55&gt;0,(JointHoursPerJob*(JointTechRate+JointIdleRate)+JointGrease)/JointInterval,0)</f>
        <v>4.85</v>
      </c>
      <c r="AC59" s="50" t="n">
        <f aca="false">AC50+IF(AC55&gt;0,(JointHoursPerJob*(JointTechRate+JointIdleRate)+JointGrease)/JointInterval,0)</f>
        <v>22.25</v>
      </c>
      <c r="AD59" s="50" t="n">
        <f aca="false">AD50+IF(AD55&gt;0,(JointHoursPerJob*(JointTechRate+JointIdleRate)+JointGrease)/JointInterval,0)</f>
        <v>22.25</v>
      </c>
      <c r="AE59" s="50" t="n">
        <f aca="false">AE50+IF(AE55&gt;0,(JointHoursPerJob*(JointTechRate+JointIdleRate)+JointGrease)/JointInterval,0)</f>
        <v>22.25</v>
      </c>
      <c r="AF59" s="50" t="n">
        <f aca="false">AF50+IF(AF55&gt;0,(JointHoursPerJob*(JointTechRate+JointIdleRate)+JointGrease)/JointInterval,0)</f>
        <v>4.85</v>
      </c>
      <c r="AG59" s="50" t="n">
        <f aca="false">AG50+IF(AG55&gt;0,(JointHoursPerJob*(JointTechRate+JointIdleRate)+JointGrease)/JointInterval,0)</f>
        <v>21.17</v>
      </c>
      <c r="AH59" s="50" t="n">
        <f aca="false">AH50+IF(AH55&gt;0,(JointHoursPerJob*(JointTechRate+JointIdleRate)+JointGrease)/JointInterval,0)</f>
        <v>21.17</v>
      </c>
      <c r="AI59" s="50" t="n">
        <f aca="false">AI50+IF(AI55&gt;0,(JointHoursPerJob*(JointTechRate+JointIdleRate)+JointGrease)/JointInterval,0)</f>
        <v>4.85</v>
      </c>
      <c r="AJ59" s="50" t="n">
        <f aca="false">AJ50+IF(AJ55&gt;0,(JointHoursPerJob*(JointTechRate+JointIdleRate)+JointGrease)/JointInterval,0)</f>
        <v>4.85</v>
      </c>
      <c r="AK59" s="50" t="n">
        <f aca="false">AK50+IF(AK55&gt;0,(JointHoursPerJob*(JointTechRate+JointIdleRate)+JointGrease)/JointInterval,0)</f>
        <v>4.85</v>
      </c>
      <c r="AL59" s="50" t="n">
        <f aca="false">AL50+IF(AL55&gt;0,(JointHoursPerJob*(JointTechRate+JointIdleRate)+JointGrease)/JointInterval,0)</f>
        <v>4.85</v>
      </c>
      <c r="AM59" s="50" t="n">
        <f aca="false">AM50+IF(AM55&gt;0,(JointHoursPerJob*(JointTechRate+JointIdleRate)+JointGrease)/JointInterval,0)</f>
        <v>4.85</v>
      </c>
      <c r="AN59" s="50" t="n">
        <f aca="false">AN50+IF(AN55&gt;0,(JointHoursPerJob*(JointTechRate+JointIdleRate)+JointGrease)/JointInterval,0)</f>
        <v>4.85</v>
      </c>
      <c r="AO59" s="50" t="n">
        <f aca="false">AO50+IF(AO55&gt;0,(JointHoursPerJob*(JointTechRate+JointIdleRate)+JointGrease)/JointInterval,0)</f>
        <v>23.21</v>
      </c>
      <c r="AP59" s="50" t="n">
        <f aca="false">AP50+IF(AP55&gt;0,(JointHoursPerJob*(JointTechRate+JointIdleRate)+JointGrease)/JointInterval,0)</f>
        <v>4.85</v>
      </c>
      <c r="AQ59" s="50" t="n">
        <f aca="false">AQ50+IF(AQ55&gt;0,(JointHoursPerJob*(JointTechRate+JointIdleRate)+JointGrease)/JointInterval,0)</f>
        <v>4.85</v>
      </c>
      <c r="AR59" s="50" t="n">
        <f aca="false">AR50+IF(AR55&gt;0,(JointHoursPerJob*(JointTechRate+JointIdleRate)+JointGrease)/JointInterval,0)</f>
        <v>20.45</v>
      </c>
      <c r="AS59" s="50" t="n">
        <f aca="false">AS50+IF(AS55&gt;0,(JointHoursPerJob*(JointTechRate+JointIdleRate)+JointGrease)/JointInterval,0)</f>
        <v>20.45</v>
      </c>
      <c r="AT59" s="50" t="n">
        <f aca="false">AT50+IF(AT55&gt;0,(JointHoursPerJob*(JointTechRate+JointIdleRate)+JointGrease)/JointInterval,0)</f>
        <v>4.85</v>
      </c>
      <c r="AU59" s="50" t="n">
        <f aca="false">AU50+IF(AU55&gt;0,(JointHoursPerJob*(JointTechRate+JointIdleRate)+JointGrease)/JointInterval,0)</f>
        <v>17.45</v>
      </c>
      <c r="AV59" s="50" t="n">
        <f aca="false">AV50+IF(AV55&gt;0,(JointHoursPerJob*(JointTechRate+JointIdleRate)+JointGrease)/JointInterval,0)</f>
        <v>24.41</v>
      </c>
      <c r="AW59" s="50" t="n">
        <f aca="false">AW50+IF(AW55&gt;0,(JointHoursPerJob*(JointTechRate+JointIdleRate)+JointGrease)/JointInterval,0)</f>
        <v>20.45</v>
      </c>
      <c r="AX59" s="50" t="n">
        <f aca="false">AX50+IF(AX55&gt;0,(JointHoursPerJob*(JointTechRate+JointIdleRate)+JointGrease)/JointInterval,0)</f>
        <v>20.45</v>
      </c>
    </row>
    <row r="60" customFormat="false" ht="18.75" hidden="false" customHeight="true" outlineLevel="0" collapsed="false">
      <c r="A60" s="14" t="s">
        <v>465</v>
      </c>
      <c r="B60" s="41" t="s">
        <v>437</v>
      </c>
      <c r="C60" s="50" t="n">
        <f aca="false">IF(OperatingHours&gt;0,C58/OperatingHours,0)</f>
        <v>36.3575933333333</v>
      </c>
      <c r="D60" s="50" t="n">
        <f aca="false">IF(OperatingHours&gt;0,D58/OperatingHours,0)</f>
        <v>36.9513333333333</v>
      </c>
      <c r="E60" s="50" t="n">
        <f aca="false">IF(OperatingHours&gt;0,E58/OperatingHours,0)</f>
        <v>39.0567266666667</v>
      </c>
      <c r="F60" s="50" t="n">
        <f aca="false">IF(OperatingHours&gt;0,F58/OperatingHours,0)</f>
        <v>40.0466666666667</v>
      </c>
      <c r="G60" s="50" t="n">
        <f aca="false">IF(OperatingHours&gt;0,G58/OperatingHours,0)</f>
        <v>40.7746666666667</v>
      </c>
      <c r="H60" s="50" t="n">
        <f aca="false">IF(OperatingHours&gt;0,H58/OperatingHours,0)</f>
        <v>42.196</v>
      </c>
      <c r="I60" s="50" t="n">
        <f aca="false">IF(OperatingHours&gt;0,I58/OperatingHours,0)</f>
        <v>42.196</v>
      </c>
      <c r="J60" s="50" t="n">
        <f aca="false">IF(OperatingHours&gt;0,J58/OperatingHours,0)</f>
        <v>3</v>
      </c>
      <c r="K60" s="50" t="n">
        <f aca="false">IF(OperatingHours&gt;0,K58/OperatingHours,0)</f>
        <v>3</v>
      </c>
      <c r="L60" s="50" t="n">
        <f aca="false">IF(OperatingHours&gt;0,L58/OperatingHours,0)</f>
        <v>3</v>
      </c>
      <c r="M60" s="50" t="n">
        <f aca="false">IF(OperatingHours&gt;0,M58/OperatingHours,0)</f>
        <v>4.85</v>
      </c>
      <c r="N60" s="50" t="n">
        <f aca="false">IF(OperatingHours&gt;0,N58/OperatingHours,0)</f>
        <v>4.85</v>
      </c>
      <c r="O60" s="50" t="n">
        <f aca="false">IF(OperatingHours&gt;0,O58/OperatingHours,0)</f>
        <v>4.85</v>
      </c>
      <c r="P60" s="50" t="n">
        <f aca="false">IF(OperatingHours&gt;0,P58/OperatingHours,0)</f>
        <v>4.85</v>
      </c>
      <c r="Q60" s="50" t="n">
        <f aca="false">IF(OperatingHours&gt;0,Q58/OperatingHours,0)</f>
        <v>51.17</v>
      </c>
      <c r="R60" s="50" t="n">
        <f aca="false">IF(OperatingHours&gt;0,R58/OperatingHours,0)</f>
        <v>51.17</v>
      </c>
      <c r="S60" s="50" t="n">
        <f aca="false">IF(OperatingHours&gt;0,S58/OperatingHours,0)</f>
        <v>4.85</v>
      </c>
      <c r="T60" s="50" t="n">
        <f aca="false">IF(OperatingHours&gt;0,T58/OperatingHours,0)</f>
        <v>51.17</v>
      </c>
      <c r="U60" s="50" t="n">
        <f aca="false">IF(OperatingHours&gt;0,U58/OperatingHours,0)</f>
        <v>4.85</v>
      </c>
      <c r="V60" s="50" t="n">
        <f aca="false">IF(OperatingHours&gt;0,V58/OperatingHours,0)</f>
        <v>4.85</v>
      </c>
      <c r="W60" s="50" t="n">
        <f aca="false">IF(OperatingHours&gt;0,W58/OperatingHours,0)</f>
        <v>51.7850333333333</v>
      </c>
      <c r="X60" s="50" t="n">
        <f aca="false">IF(OperatingHours&gt;0,X58/OperatingHours,0)</f>
        <v>51.7850333333333</v>
      </c>
      <c r="Y60" s="50" t="n">
        <f aca="false">IF(OperatingHours&gt;0,Y58/OperatingHours,0)</f>
        <v>4.85</v>
      </c>
      <c r="Z60" s="50" t="n">
        <f aca="false">IF(OperatingHours&gt;0,Z58/OperatingHours,0)</f>
        <v>4.85</v>
      </c>
      <c r="AA60" s="50" t="n">
        <f aca="false">IF(OperatingHours&gt;0,AA58/OperatingHours,0)</f>
        <v>4.85</v>
      </c>
      <c r="AB60" s="50" t="n">
        <f aca="false">IF(OperatingHours&gt;0,AB58/OperatingHours,0)</f>
        <v>4.85</v>
      </c>
      <c r="AC60" s="50" t="n">
        <f aca="false">IF(OperatingHours&gt;0,AC58/OperatingHours,0)</f>
        <v>57.3496166666667</v>
      </c>
      <c r="AD60" s="50" t="n">
        <f aca="false">IF(OperatingHours&gt;0,AD58/OperatingHours,0)</f>
        <v>57.3496166666667</v>
      </c>
      <c r="AE60" s="50" t="n">
        <f aca="false">IF(OperatingHours&gt;0,AE58/OperatingHours,0)</f>
        <v>57.3496166666667</v>
      </c>
      <c r="AF60" s="50" t="n">
        <f aca="false">IF(OperatingHours&gt;0,AF58/OperatingHours,0)</f>
        <v>4.85</v>
      </c>
      <c r="AG60" s="50" t="n">
        <f aca="false">IF(OperatingHours&gt;0,AG58/OperatingHours,0)</f>
        <v>39.432</v>
      </c>
      <c r="AH60" s="50" t="n">
        <f aca="false">IF(OperatingHours&gt;0,AH58/OperatingHours,0)</f>
        <v>39.432</v>
      </c>
      <c r="AI60" s="50" t="n">
        <f aca="false">IF(OperatingHours&gt;0,AI58/OperatingHours,0)</f>
        <v>4.85</v>
      </c>
      <c r="AJ60" s="50" t="n">
        <f aca="false">IF(OperatingHours&gt;0,AJ58/OperatingHours,0)</f>
        <v>4.85</v>
      </c>
      <c r="AK60" s="50" t="n">
        <f aca="false">IF(OperatingHours&gt;0,AK58/OperatingHours,0)</f>
        <v>4.85</v>
      </c>
      <c r="AL60" s="50" t="n">
        <f aca="false">IF(OperatingHours&gt;0,AL58/OperatingHours,0)</f>
        <v>4.85</v>
      </c>
      <c r="AM60" s="50" t="n">
        <f aca="false">IF(OperatingHours&gt;0,AM58/OperatingHours,0)</f>
        <v>4.85</v>
      </c>
      <c r="AN60" s="50" t="n">
        <f aca="false">IF(OperatingHours&gt;0,AN58/OperatingHours,0)</f>
        <v>4.85</v>
      </c>
      <c r="AO60" s="50" t="n">
        <f aca="false">IF(OperatingHours&gt;0,AO58/OperatingHours,0)</f>
        <v>42.0073333333333</v>
      </c>
      <c r="AP60" s="50" t="n">
        <f aca="false">IF(OperatingHours&gt;0,AP58/OperatingHours,0)</f>
        <v>4.85</v>
      </c>
      <c r="AQ60" s="50" t="n">
        <f aca="false">IF(OperatingHours&gt;0,AQ58/OperatingHours,0)</f>
        <v>4.85</v>
      </c>
      <c r="AR60" s="50" t="n">
        <f aca="false">IF(OperatingHours&gt;0,AR58/OperatingHours,0)</f>
        <v>48.4753333333333</v>
      </c>
      <c r="AS60" s="50" t="n">
        <f aca="false">IF(OperatingHours&gt;0,AS58/OperatingHours,0)</f>
        <v>48.4753333333333</v>
      </c>
      <c r="AT60" s="50" t="n">
        <f aca="false">IF(OperatingHours&gt;0,AT58/OperatingHours,0)</f>
        <v>4.85</v>
      </c>
      <c r="AU60" s="50" t="n">
        <f aca="false">IF(OperatingHours&gt;0,AU58/OperatingHours,0)</f>
        <v>41.3166666666667</v>
      </c>
      <c r="AV60" s="50" t="n">
        <f aca="false">IF(OperatingHours&gt;0,AV58/OperatingHours,0)</f>
        <v>54.3866666666667</v>
      </c>
      <c r="AW60" s="50" t="n">
        <f aca="false">IF(OperatingHours&gt;0,AW58/OperatingHours,0)</f>
        <v>48.4753333333333</v>
      </c>
      <c r="AX60" s="50" t="n">
        <f aca="false">IF(OperatingHours&gt;0,AX58/OperatingHours,0)</f>
        <v>48.4753333333333</v>
      </c>
    </row>
    <row r="61" customFormat="false" ht="18.75" hidden="false" customHeight="true" outlineLevel="0" collapsed="false">
      <c r="A61" s="14" t="s">
        <v>466</v>
      </c>
      <c r="B61" s="41"/>
      <c r="C61" s="43" t="n">
        <f aca="false">C58*CurrencyRate</f>
        <v>109072.78</v>
      </c>
      <c r="D61" s="43" t="n">
        <f aca="false">D58*CurrencyRate</f>
        <v>110854</v>
      </c>
      <c r="E61" s="43" t="n">
        <f aca="false">E58*CurrencyRate</f>
        <v>117170.18</v>
      </c>
      <c r="F61" s="43" t="n">
        <f aca="false">F58*CurrencyRate</f>
        <v>120140</v>
      </c>
      <c r="G61" s="43" t="n">
        <f aca="false">G58*CurrencyRate</f>
        <v>122324</v>
      </c>
      <c r="H61" s="43" t="n">
        <f aca="false">H58*CurrencyRate</f>
        <v>126588</v>
      </c>
      <c r="I61" s="43" t="n">
        <f aca="false">I58*CurrencyRate</f>
        <v>126588</v>
      </c>
      <c r="J61" s="43" t="n">
        <f aca="false">J58*CurrencyRate</f>
        <v>9000</v>
      </c>
      <c r="K61" s="43" t="n">
        <f aca="false">K58*CurrencyRate</f>
        <v>9000</v>
      </c>
      <c r="L61" s="43" t="n">
        <f aca="false">L58*CurrencyRate</f>
        <v>9000</v>
      </c>
      <c r="M61" s="43" t="n">
        <f aca="false">M58*CurrencyRate</f>
        <v>14550</v>
      </c>
      <c r="N61" s="43" t="n">
        <f aca="false">N58*CurrencyRate</f>
        <v>14550</v>
      </c>
      <c r="O61" s="43" t="n">
        <f aca="false">O58*CurrencyRate</f>
        <v>14550</v>
      </c>
      <c r="P61" s="43" t="n">
        <f aca="false">P58*CurrencyRate</f>
        <v>14550</v>
      </c>
      <c r="Q61" s="43" t="n">
        <f aca="false">Q58*CurrencyRate</f>
        <v>153510</v>
      </c>
      <c r="R61" s="43" t="n">
        <f aca="false">R58*CurrencyRate</f>
        <v>153510</v>
      </c>
      <c r="S61" s="43" t="n">
        <f aca="false">S58*CurrencyRate</f>
        <v>14550</v>
      </c>
      <c r="T61" s="43" t="n">
        <f aca="false">T58*CurrencyRate</f>
        <v>153510</v>
      </c>
      <c r="U61" s="43" t="n">
        <f aca="false">U58*CurrencyRate</f>
        <v>14550</v>
      </c>
      <c r="V61" s="43" t="n">
        <f aca="false">V58*CurrencyRate</f>
        <v>14550</v>
      </c>
      <c r="W61" s="43" t="n">
        <f aca="false">W58*CurrencyRate</f>
        <v>155355.1</v>
      </c>
      <c r="X61" s="43" t="n">
        <f aca="false">X58*CurrencyRate</f>
        <v>155355.1</v>
      </c>
      <c r="Y61" s="43" t="n">
        <f aca="false">Y58*CurrencyRate</f>
        <v>14550</v>
      </c>
      <c r="Z61" s="43" t="n">
        <f aca="false">Z58*CurrencyRate</f>
        <v>14550</v>
      </c>
      <c r="AA61" s="43" t="n">
        <f aca="false">AA58*CurrencyRate</f>
        <v>14550</v>
      </c>
      <c r="AB61" s="43" t="n">
        <f aca="false">AB58*CurrencyRate</f>
        <v>14550</v>
      </c>
      <c r="AC61" s="43" t="n">
        <f aca="false">AC58*CurrencyRate</f>
        <v>172048.85</v>
      </c>
      <c r="AD61" s="43" t="n">
        <f aca="false">AD58*CurrencyRate</f>
        <v>172048.85</v>
      </c>
      <c r="AE61" s="43" t="n">
        <f aca="false">AE58*CurrencyRate</f>
        <v>172048.85</v>
      </c>
      <c r="AF61" s="43" t="n">
        <f aca="false">AF58*CurrencyRate</f>
        <v>14550</v>
      </c>
      <c r="AG61" s="43" t="n">
        <f aca="false">AG58*CurrencyRate</f>
        <v>118296</v>
      </c>
      <c r="AH61" s="43" t="n">
        <f aca="false">AH58*CurrencyRate</f>
        <v>118296</v>
      </c>
      <c r="AI61" s="43" t="n">
        <f aca="false">AI58*CurrencyRate</f>
        <v>14550</v>
      </c>
      <c r="AJ61" s="43" t="n">
        <f aca="false">AJ58*CurrencyRate</f>
        <v>14550</v>
      </c>
      <c r="AK61" s="43" t="n">
        <f aca="false">AK58*CurrencyRate</f>
        <v>14550</v>
      </c>
      <c r="AL61" s="43" t="n">
        <f aca="false">AL58*CurrencyRate</f>
        <v>14550</v>
      </c>
      <c r="AM61" s="43" t="n">
        <f aca="false">AM58*CurrencyRate</f>
        <v>14550</v>
      </c>
      <c r="AN61" s="43" t="n">
        <f aca="false">AN58*CurrencyRate</f>
        <v>14550</v>
      </c>
      <c r="AO61" s="43" t="n">
        <f aca="false">AO58*CurrencyRate</f>
        <v>126022</v>
      </c>
      <c r="AP61" s="43" t="n">
        <f aca="false">AP58*CurrencyRate</f>
        <v>14550</v>
      </c>
      <c r="AQ61" s="43" t="n">
        <f aca="false">AQ58*CurrencyRate</f>
        <v>14550</v>
      </c>
      <c r="AR61" s="43" t="n">
        <f aca="false">AR58*CurrencyRate</f>
        <v>145426</v>
      </c>
      <c r="AS61" s="43" t="n">
        <f aca="false">AS58*CurrencyRate</f>
        <v>145426</v>
      </c>
      <c r="AT61" s="43" t="n">
        <f aca="false">AT58*CurrencyRate</f>
        <v>14550</v>
      </c>
      <c r="AU61" s="43" t="n">
        <f aca="false">AU58*CurrencyRate</f>
        <v>123950</v>
      </c>
      <c r="AV61" s="43" t="n">
        <f aca="false">AV58*CurrencyRate</f>
        <v>163160</v>
      </c>
      <c r="AW61" s="43" t="n">
        <f aca="false">AW58*CurrencyRate</f>
        <v>145426</v>
      </c>
      <c r="AX61" s="43" t="n">
        <f aca="false">AX58*CurrencyRate</f>
        <v>145426</v>
      </c>
    </row>
    <row r="62" customFormat="false" ht="18.75" hidden="false" customHeight="true" outlineLevel="0" collapsed="false">
      <c r="A62" s="14" t="s">
        <v>467</v>
      </c>
      <c r="B62" s="41" t="s">
        <v>67</v>
      </c>
      <c r="C62" s="51" t="n">
        <f aca="false">IFERROR(C58-INDEX($C$58:$AX$58,MATCH(SDR_Ref,$C$7:$AX$7,0)),0)</f>
        <v>0</v>
      </c>
      <c r="D62" s="51" t="n">
        <f aca="false">IFERROR(D58-INDEX($C$58:$AX$58,MATCH(SDR_Ref,$C$7:$AX$7,0)),0)</f>
        <v>1781.22</v>
      </c>
      <c r="E62" s="51" t="n">
        <f aca="false">IFERROR(E58-INDEX($C$58:$AX$58,MATCH(SDR_Ref,$C$7:$AX$7,0)),0)</f>
        <v>8097.39999999999</v>
      </c>
      <c r="F62" s="51" t="n">
        <f aca="false">IFERROR(F58-INDEX($C$58:$AX$58,MATCH(SDR_Ref,$C$7:$AX$7,0)),0)</f>
        <v>11067.22</v>
      </c>
      <c r="G62" s="51" t="n">
        <f aca="false">IFERROR(G58-INDEX($C$58:$AX$58,MATCH(SDR_Ref,$C$7:$AX$7,0)),0)</f>
        <v>13251.22</v>
      </c>
      <c r="H62" s="51" t="n">
        <f aca="false">IFERROR(H58-INDEX($C$58:$AX$58,MATCH(SDR_Ref,$C$7:$AX$7,0)),0)</f>
        <v>17515.22</v>
      </c>
      <c r="I62" s="51" t="n">
        <f aca="false">IFERROR(I58-INDEX($C$58:$AX$58,MATCH(SDR_Ref,$C$7:$AX$7,0)),0)</f>
        <v>17515.22</v>
      </c>
      <c r="J62" s="51" t="n">
        <f aca="false">IFERROR(J58-INDEX($C$58:$AX$58,MATCH(SDR_Ref,$C$7:$AX$7,0)),0)</f>
        <v>-100072.78</v>
      </c>
      <c r="K62" s="51" t="n">
        <f aca="false">IFERROR(K58-INDEX($C$58:$AX$58,MATCH(SDR_Ref,$C$7:$AX$7,0)),0)</f>
        <v>-100072.78</v>
      </c>
      <c r="L62" s="51" t="n">
        <f aca="false">IFERROR(L58-INDEX($C$58:$AX$58,MATCH(SDR_Ref,$C$7:$AX$7,0)),0)</f>
        <v>-100072.78</v>
      </c>
      <c r="M62" s="51" t="n">
        <f aca="false">IFERROR(M58-INDEX($C$58:$AX$58,MATCH(SDR_Ref,$C$7:$AX$7,0)),0)</f>
        <v>-94522.78</v>
      </c>
      <c r="N62" s="51" t="n">
        <f aca="false">IFERROR(N58-INDEX($C$58:$AX$58,MATCH(SDR_Ref,$C$7:$AX$7,0)),0)</f>
        <v>-94522.78</v>
      </c>
      <c r="O62" s="51" t="n">
        <f aca="false">IFERROR(O58-INDEX($C$58:$AX$58,MATCH(SDR_Ref,$C$7:$AX$7,0)),0)</f>
        <v>-94522.78</v>
      </c>
      <c r="P62" s="51" t="n">
        <f aca="false">IFERROR(P58-INDEX($C$58:$AX$58,MATCH(SDR_Ref,$C$7:$AX$7,0)),0)</f>
        <v>-94522.78</v>
      </c>
      <c r="Q62" s="51" t="n">
        <f aca="false">IFERROR(Q58-INDEX($C$58:$AX$58,MATCH(SDR_Ref,$C$7:$AX$7,0)),0)</f>
        <v>44437.22</v>
      </c>
      <c r="R62" s="51" t="n">
        <f aca="false">IFERROR(R58-INDEX($C$58:$AX$58,MATCH(SDR_Ref,$C$7:$AX$7,0)),0)</f>
        <v>44437.22</v>
      </c>
      <c r="S62" s="51" t="n">
        <f aca="false">IFERROR(S58-INDEX($C$58:$AX$58,MATCH(SDR_Ref,$C$7:$AX$7,0)),0)</f>
        <v>-94522.78</v>
      </c>
      <c r="T62" s="51" t="n">
        <f aca="false">IFERROR(T58-INDEX($C$58:$AX$58,MATCH(SDR_Ref,$C$7:$AX$7,0)),0)</f>
        <v>44437.22</v>
      </c>
      <c r="U62" s="51" t="n">
        <f aca="false">IFERROR(U58-INDEX($C$58:$AX$58,MATCH(SDR_Ref,$C$7:$AX$7,0)),0)</f>
        <v>-94522.78</v>
      </c>
      <c r="V62" s="51" t="n">
        <f aca="false">IFERROR(V58-INDEX($C$58:$AX$58,MATCH(SDR_Ref,$C$7:$AX$7,0)),0)</f>
        <v>-94522.78</v>
      </c>
      <c r="W62" s="51" t="n">
        <f aca="false">IFERROR(W58-INDEX($C$58:$AX$58,MATCH(SDR_Ref,$C$7:$AX$7,0)),0)</f>
        <v>46282.32</v>
      </c>
      <c r="X62" s="51" t="n">
        <f aca="false">IFERROR(X58-INDEX($C$58:$AX$58,MATCH(SDR_Ref,$C$7:$AX$7,0)),0)</f>
        <v>46282.32</v>
      </c>
      <c r="Y62" s="51" t="n">
        <f aca="false">IFERROR(Y58-INDEX($C$58:$AX$58,MATCH(SDR_Ref,$C$7:$AX$7,0)),0)</f>
        <v>-94522.78</v>
      </c>
      <c r="Z62" s="51" t="n">
        <f aca="false">IFERROR(Z58-INDEX($C$58:$AX$58,MATCH(SDR_Ref,$C$7:$AX$7,0)),0)</f>
        <v>-94522.78</v>
      </c>
      <c r="AA62" s="51" t="n">
        <f aca="false">IFERROR(AA58-INDEX($C$58:$AX$58,MATCH(SDR_Ref,$C$7:$AX$7,0)),0)</f>
        <v>-94522.78</v>
      </c>
      <c r="AB62" s="51" t="n">
        <f aca="false">IFERROR(AB58-INDEX($C$58:$AX$58,MATCH(SDR_Ref,$C$7:$AX$7,0)),0)</f>
        <v>-94522.78</v>
      </c>
      <c r="AC62" s="51" t="n">
        <f aca="false">IFERROR(AC58-INDEX($C$58:$AX$58,MATCH(SDR_Ref,$C$7:$AX$7,0)),0)</f>
        <v>62976.07</v>
      </c>
      <c r="AD62" s="51" t="n">
        <f aca="false">IFERROR(AD58-INDEX($C$58:$AX$58,MATCH(SDR_Ref,$C$7:$AX$7,0)),0)</f>
        <v>62976.07</v>
      </c>
      <c r="AE62" s="51" t="n">
        <f aca="false">IFERROR(AE58-INDEX($C$58:$AX$58,MATCH(SDR_Ref,$C$7:$AX$7,0)),0)</f>
        <v>62976.07</v>
      </c>
      <c r="AF62" s="51" t="n">
        <f aca="false">IFERROR(AF58-INDEX($C$58:$AX$58,MATCH(SDR_Ref,$C$7:$AX$7,0)),0)</f>
        <v>-94522.78</v>
      </c>
      <c r="AG62" s="51" t="n">
        <f aca="false">IFERROR(AG58-INDEX($C$58:$AX$58,MATCH(SDR_Ref,$C$7:$AX$7,0)),0)</f>
        <v>9223.22</v>
      </c>
      <c r="AH62" s="51" t="n">
        <f aca="false">IFERROR(AH58-INDEX($C$58:$AX$58,MATCH(SDR_Ref,$C$7:$AX$7,0)),0)</f>
        <v>9223.22</v>
      </c>
      <c r="AI62" s="51" t="n">
        <f aca="false">IFERROR(AI58-INDEX($C$58:$AX$58,MATCH(SDR_Ref,$C$7:$AX$7,0)),0)</f>
        <v>-94522.78</v>
      </c>
      <c r="AJ62" s="51" t="n">
        <f aca="false">IFERROR(AJ58-INDEX($C$58:$AX$58,MATCH(SDR_Ref,$C$7:$AX$7,0)),0)</f>
        <v>-94522.78</v>
      </c>
      <c r="AK62" s="51" t="n">
        <f aca="false">IFERROR(AK58-INDEX($C$58:$AX$58,MATCH(SDR_Ref,$C$7:$AX$7,0)),0)</f>
        <v>-94522.78</v>
      </c>
      <c r="AL62" s="51" t="n">
        <f aca="false">IFERROR(AL58-INDEX($C$58:$AX$58,MATCH(SDR_Ref,$C$7:$AX$7,0)),0)</f>
        <v>-94522.78</v>
      </c>
      <c r="AM62" s="51" t="n">
        <f aca="false">IFERROR(AM58-INDEX($C$58:$AX$58,MATCH(SDR_Ref,$C$7:$AX$7,0)),0)</f>
        <v>-94522.78</v>
      </c>
      <c r="AN62" s="51" t="n">
        <f aca="false">IFERROR(AN58-INDEX($C$58:$AX$58,MATCH(SDR_Ref,$C$7:$AX$7,0)),0)</f>
        <v>-94522.78</v>
      </c>
      <c r="AO62" s="51" t="n">
        <f aca="false">IFERROR(AO58-INDEX($C$58:$AX$58,MATCH(SDR_Ref,$C$7:$AX$7,0)),0)</f>
        <v>16949.22</v>
      </c>
      <c r="AP62" s="51" t="n">
        <f aca="false">IFERROR(AP58-INDEX($C$58:$AX$58,MATCH(SDR_Ref,$C$7:$AX$7,0)),0)</f>
        <v>-94522.78</v>
      </c>
      <c r="AQ62" s="51" t="n">
        <f aca="false">IFERROR(AQ58-INDEX($C$58:$AX$58,MATCH(SDR_Ref,$C$7:$AX$7,0)),0)</f>
        <v>-94522.78</v>
      </c>
      <c r="AR62" s="51" t="n">
        <f aca="false">IFERROR(AR58-INDEX($C$58:$AX$58,MATCH(SDR_Ref,$C$7:$AX$7,0)),0)</f>
        <v>36353.22</v>
      </c>
      <c r="AS62" s="51" t="n">
        <f aca="false">IFERROR(AS58-INDEX($C$58:$AX$58,MATCH(SDR_Ref,$C$7:$AX$7,0)),0)</f>
        <v>36353.22</v>
      </c>
      <c r="AT62" s="51" t="n">
        <f aca="false">IFERROR(AT58-INDEX($C$58:$AX$58,MATCH(SDR_Ref,$C$7:$AX$7,0)),0)</f>
        <v>-94522.78</v>
      </c>
      <c r="AU62" s="51" t="n">
        <f aca="false">IFERROR(AU58-INDEX($C$58:$AX$58,MATCH(SDR_Ref,$C$7:$AX$7,0)),0)</f>
        <v>14877.22</v>
      </c>
      <c r="AV62" s="51" t="n">
        <f aca="false">IFERROR(AV58-INDEX($C$58:$AX$58,MATCH(SDR_Ref,$C$7:$AX$7,0)),0)</f>
        <v>54087.22</v>
      </c>
      <c r="AW62" s="51" t="n">
        <f aca="false">IFERROR(AW58-INDEX($C$58:$AX$58,MATCH(SDR_Ref,$C$7:$AX$7,0)),0)</f>
        <v>36353.22</v>
      </c>
      <c r="AX62" s="51" t="n">
        <f aca="false">IFERROR(AX58-INDEX($C$58:$AX$58,MATCH(SDR_Ref,$C$7:$AX$7,0)),0)</f>
        <v>36353.22</v>
      </c>
    </row>
    <row r="63" customFormat="false" ht="19.5" hidden="false" customHeight="true" outlineLevel="0" collapsed="false">
      <c r="A63" s="21" t="s">
        <v>468</v>
      </c>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row>
    <row r="64" customFormat="false" ht="18.75" hidden="false" customHeight="true" outlineLevel="0" collapsed="false">
      <c r="A64" s="14" t="s">
        <v>469</v>
      </c>
      <c r="B64" s="41" t="s">
        <v>61</v>
      </c>
      <c r="C64" s="43" t="n">
        <v>3000</v>
      </c>
      <c r="D64" s="43" t="n">
        <v>3000</v>
      </c>
      <c r="E64" s="43" t="n">
        <v>3000</v>
      </c>
      <c r="F64" s="43" t="n">
        <v>3000</v>
      </c>
      <c r="G64" s="43" t="n">
        <v>3000</v>
      </c>
      <c r="H64" s="43" t="n">
        <v>3000</v>
      </c>
      <c r="I64" s="43" t="n">
        <v>3000</v>
      </c>
      <c r="J64" s="43" t="n">
        <v>3000</v>
      </c>
      <c r="K64" s="43" t="n">
        <v>3000</v>
      </c>
      <c r="L64" s="43" t="n">
        <v>3000</v>
      </c>
      <c r="M64" s="43" t="n">
        <v>3000</v>
      </c>
      <c r="N64" s="43" t="n">
        <v>3000</v>
      </c>
      <c r="O64" s="43" t="n">
        <v>3000</v>
      </c>
      <c r="P64" s="43" t="n">
        <v>3000</v>
      </c>
      <c r="Q64" s="43" t="n">
        <v>3000</v>
      </c>
      <c r="R64" s="43" t="n">
        <v>3000</v>
      </c>
      <c r="S64" s="43" t="n">
        <v>3000</v>
      </c>
      <c r="T64" s="43" t="n">
        <v>3000</v>
      </c>
      <c r="U64" s="43" t="n">
        <v>3000</v>
      </c>
      <c r="V64" s="43" t="n">
        <v>3000</v>
      </c>
      <c r="W64" s="43" t="n">
        <v>3000</v>
      </c>
      <c r="X64" s="43" t="n">
        <v>3000</v>
      </c>
      <c r="Y64" s="43" t="n">
        <v>3000</v>
      </c>
      <c r="Z64" s="43" t="n">
        <v>3000</v>
      </c>
      <c r="AA64" s="43" t="n">
        <v>3000</v>
      </c>
      <c r="AB64" s="43" t="n">
        <v>3000</v>
      </c>
      <c r="AC64" s="43" t="n">
        <v>3000</v>
      </c>
      <c r="AD64" s="43" t="n">
        <v>3000</v>
      </c>
      <c r="AE64" s="43" t="n">
        <v>3000</v>
      </c>
      <c r="AF64" s="43" t="n">
        <v>3000</v>
      </c>
      <c r="AG64" s="43" t="n">
        <v>3000</v>
      </c>
      <c r="AH64" s="43" t="n">
        <v>3000</v>
      </c>
      <c r="AI64" s="43" t="n">
        <v>3000</v>
      </c>
      <c r="AJ64" s="43" t="n">
        <v>3000</v>
      </c>
      <c r="AK64" s="43" t="n">
        <v>3000</v>
      </c>
      <c r="AL64" s="43" t="n">
        <v>3000</v>
      </c>
      <c r="AM64" s="43" t="n">
        <v>3000</v>
      </c>
      <c r="AN64" s="43" t="n">
        <v>3000</v>
      </c>
      <c r="AO64" s="43" t="n">
        <v>3000</v>
      </c>
      <c r="AP64" s="43" t="n">
        <v>3000</v>
      </c>
      <c r="AQ64" s="43" t="n">
        <v>3000</v>
      </c>
      <c r="AR64" s="43" t="n">
        <v>3000</v>
      </c>
      <c r="AS64" s="43" t="n">
        <v>3000</v>
      </c>
      <c r="AT64" s="43" t="n">
        <v>3000</v>
      </c>
      <c r="AU64" s="43" t="n">
        <v>3000</v>
      </c>
      <c r="AV64" s="43" t="n">
        <v>3000</v>
      </c>
      <c r="AW64" s="43" t="n">
        <v>3000</v>
      </c>
      <c r="AX64" s="43" t="n">
        <v>3000</v>
      </c>
    </row>
    <row r="65" customFormat="false" ht="18.75" hidden="false" customHeight="true" outlineLevel="0" collapsed="false">
      <c r="A65" s="14" t="s">
        <v>470</v>
      </c>
      <c r="B65" s="41" t="s">
        <v>67</v>
      </c>
      <c r="C65" s="51" t="n">
        <v>109072.78</v>
      </c>
      <c r="D65" s="51" t="n">
        <v>110854</v>
      </c>
      <c r="E65" s="51" t="n">
        <v>117170.18</v>
      </c>
      <c r="F65" s="51" t="n">
        <v>120140</v>
      </c>
      <c r="G65" s="51" t="n">
        <v>122324</v>
      </c>
      <c r="H65" s="51" t="n">
        <v>126588</v>
      </c>
      <c r="I65" s="51" t="n">
        <v>126588</v>
      </c>
      <c r="J65" s="51" t="n">
        <v>0</v>
      </c>
      <c r="K65" s="51" t="n">
        <v>0</v>
      </c>
      <c r="L65" s="51" t="n">
        <v>0</v>
      </c>
      <c r="M65" s="51" t="n">
        <v>0</v>
      </c>
      <c r="N65" s="51" t="n">
        <v>0</v>
      </c>
      <c r="O65" s="51" t="n">
        <v>0</v>
      </c>
      <c r="P65" s="51" t="n">
        <v>0</v>
      </c>
      <c r="Q65" s="51" t="n">
        <v>160200</v>
      </c>
      <c r="R65" s="51" t="n">
        <v>160200</v>
      </c>
      <c r="S65" s="51" t="n">
        <v>0</v>
      </c>
      <c r="T65" s="51" t="n">
        <v>160200</v>
      </c>
      <c r="U65" s="51" t="n">
        <v>0</v>
      </c>
      <c r="V65" s="51" t="n">
        <v>0</v>
      </c>
      <c r="W65" s="51" t="n">
        <v>149805.1</v>
      </c>
      <c r="X65" s="51" t="n">
        <v>149805.1</v>
      </c>
      <c r="Y65" s="51" t="n">
        <v>0</v>
      </c>
      <c r="Z65" s="51" t="n">
        <v>0</v>
      </c>
      <c r="AA65" s="51" t="n">
        <v>0</v>
      </c>
      <c r="AB65" s="51" t="n">
        <v>0</v>
      </c>
      <c r="AC65" s="51" t="n">
        <v>179548.85</v>
      </c>
      <c r="AD65" s="51" t="n">
        <v>179548.85</v>
      </c>
      <c r="AE65" s="51" t="n">
        <v>179548.85</v>
      </c>
      <c r="AF65" s="51" t="n">
        <v>0</v>
      </c>
      <c r="AG65" s="51" t="n">
        <v>124986</v>
      </c>
      <c r="AH65" s="51" t="n">
        <v>124986</v>
      </c>
      <c r="AI65" s="51" t="n">
        <v>0</v>
      </c>
      <c r="AJ65" s="51" t="n">
        <v>0</v>
      </c>
      <c r="AK65" s="51" t="n">
        <v>0</v>
      </c>
      <c r="AL65" s="51" t="n">
        <v>0</v>
      </c>
      <c r="AM65" s="51" t="n">
        <v>0</v>
      </c>
      <c r="AN65" s="51" t="n">
        <v>0</v>
      </c>
      <c r="AO65" s="51" t="n">
        <v>134242</v>
      </c>
      <c r="AP65" s="51" t="n">
        <v>0</v>
      </c>
      <c r="AQ65" s="51" t="n">
        <v>0</v>
      </c>
      <c r="AR65" s="51" t="n">
        <v>151576</v>
      </c>
      <c r="AS65" s="51" t="n">
        <v>151576</v>
      </c>
      <c r="AT65" s="51" t="n">
        <v>0</v>
      </c>
      <c r="AU65" s="51" t="n">
        <v>127850</v>
      </c>
      <c r="AV65" s="51" t="n">
        <v>172280</v>
      </c>
      <c r="AW65" s="51" t="n">
        <v>151576</v>
      </c>
      <c r="AX65" s="51" t="n">
        <v>151576</v>
      </c>
    </row>
    <row r="66" customFormat="false" ht="138" hidden="false" customHeight="true" outlineLevel="0" collapsed="false">
      <c r="A66" s="14" t="s">
        <v>471</v>
      </c>
      <c r="B66" s="41"/>
      <c r="C66" s="14" t="s">
        <v>472</v>
      </c>
      <c r="D66" s="14" t="s">
        <v>473</v>
      </c>
      <c r="E66" s="14" t="s">
        <v>474</v>
      </c>
      <c r="F66" s="14" t="s">
        <v>475</v>
      </c>
      <c r="G66" s="14" t="s">
        <v>476</v>
      </c>
      <c r="H66" s="14" t="s">
        <v>477</v>
      </c>
      <c r="I66" s="42" t="s">
        <v>212</v>
      </c>
      <c r="J66" s="42" t="s">
        <v>212</v>
      </c>
      <c r="K66" s="42" t="s">
        <v>212</v>
      </c>
      <c r="L66" s="42" t="s">
        <v>212</v>
      </c>
      <c r="M66" s="42" t="s">
        <v>212</v>
      </c>
      <c r="N66" s="42" t="s">
        <v>212</v>
      </c>
      <c r="O66" s="42" t="s">
        <v>212</v>
      </c>
      <c r="P66" s="42" t="s">
        <v>212</v>
      </c>
      <c r="Q66" s="42" t="s">
        <v>212</v>
      </c>
      <c r="R66" s="42" t="s">
        <v>212</v>
      </c>
      <c r="S66" s="42" t="s">
        <v>212</v>
      </c>
      <c r="T66" s="42" t="s">
        <v>212</v>
      </c>
      <c r="U66" s="42" t="s">
        <v>212</v>
      </c>
      <c r="V66" s="42" t="s">
        <v>212</v>
      </c>
      <c r="W66" s="42" t="s">
        <v>212</v>
      </c>
      <c r="X66" s="42" t="s">
        <v>212</v>
      </c>
      <c r="Y66" s="42" t="s">
        <v>212</v>
      </c>
      <c r="Z66" s="42" t="s">
        <v>212</v>
      </c>
      <c r="AA66" s="42" t="s">
        <v>212</v>
      </c>
      <c r="AB66" s="42" t="s">
        <v>212</v>
      </c>
      <c r="AC66" s="42" t="s">
        <v>212</v>
      </c>
      <c r="AD66" s="42" t="s">
        <v>212</v>
      </c>
      <c r="AE66" s="42" t="s">
        <v>212</v>
      </c>
      <c r="AF66" s="42" t="s">
        <v>212</v>
      </c>
      <c r="AG66" s="42" t="s">
        <v>212</v>
      </c>
      <c r="AH66" s="42" t="s">
        <v>212</v>
      </c>
      <c r="AI66" s="42" t="s">
        <v>212</v>
      </c>
      <c r="AJ66" s="42" t="s">
        <v>212</v>
      </c>
      <c r="AK66" s="42" t="s">
        <v>212</v>
      </c>
      <c r="AL66" s="42" t="s">
        <v>212</v>
      </c>
      <c r="AM66" s="42" t="s">
        <v>212</v>
      </c>
      <c r="AN66" s="42" t="s">
        <v>212</v>
      </c>
      <c r="AO66" s="42" t="s">
        <v>212</v>
      </c>
      <c r="AP66" s="42" t="s">
        <v>212</v>
      </c>
      <c r="AQ66" s="42" t="s">
        <v>212</v>
      </c>
      <c r="AR66" s="42" t="s">
        <v>212</v>
      </c>
      <c r="AS66" s="42" t="s">
        <v>212</v>
      </c>
      <c r="AT66" s="42" t="s">
        <v>212</v>
      </c>
      <c r="AU66" s="42" t="s">
        <v>212</v>
      </c>
      <c r="AV66" s="42" t="s">
        <v>212</v>
      </c>
      <c r="AW66" s="42" t="s">
        <v>212</v>
      </c>
      <c r="AX66" s="42" t="s">
        <v>212</v>
      </c>
    </row>
    <row r="67" customFormat="false" ht="19.5" hidden="false" customHeight="true" outlineLevel="0" collapsed="false">
      <c r="A67" s="21" t="s">
        <v>478</v>
      </c>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row>
    <row r="68" customFormat="false" ht="15" hidden="false" customHeight="false" outlineLevel="0" collapsed="false">
      <c r="A68" s="14" t="s">
        <v>479</v>
      </c>
      <c r="B68" s="55" t="n">
        <v>0</v>
      </c>
      <c r="C68" s="56" t="n">
        <f aca="false">C$34+$B68*C$59-C$38</f>
        <v>57592.78</v>
      </c>
      <c r="D68" s="56" t="n">
        <f aca="false">D$34+$B68*D$59-D$38</f>
        <v>59374</v>
      </c>
      <c r="E68" s="56" t="n">
        <f aca="false">E$34+$B68*E$59-E$38</f>
        <v>63530.18</v>
      </c>
      <c r="F68" s="56" t="n">
        <f aca="false">F$34+$B68*F$59-F$38</f>
        <v>66500</v>
      </c>
      <c r="G68" s="56" t="n">
        <f aca="false">G$34+$B68*G$59-G$38</f>
        <v>68684</v>
      </c>
      <c r="H68" s="56" t="n">
        <f aca="false">H$34+$B68*H$59-H$38</f>
        <v>72948</v>
      </c>
      <c r="I68" s="56" t="n">
        <f aca="false">I$34+$B68*I$59-I$38</f>
        <v>72948</v>
      </c>
      <c r="J68" s="56" t="n">
        <f aca="false">J$34+$B68*J$59-J$38</f>
        <v>0</v>
      </c>
      <c r="K68" s="56" t="n">
        <f aca="false">K$34+$B68*K$59-K$38</f>
        <v>0</v>
      </c>
      <c r="L68" s="56" t="n">
        <f aca="false">L$34+$B68*L$59-L$38</f>
        <v>0</v>
      </c>
      <c r="M68" s="56" t="n">
        <f aca="false">M$34+$B68*M$59-M$38</f>
        <v>0</v>
      </c>
      <c r="N68" s="56" t="n">
        <f aca="false">N$34+$B68*N$59-N$38</f>
        <v>0</v>
      </c>
      <c r="O68" s="56" t="n">
        <f aca="false">O$34+$B68*O$59-O$38</f>
        <v>0</v>
      </c>
      <c r="P68" s="56" t="n">
        <f aca="false">P$34+$B68*P$59-P$38</f>
        <v>0</v>
      </c>
      <c r="Q68" s="56" t="n">
        <f aca="false">Q$34+$B68*Q$59-Q$38</f>
        <v>90000</v>
      </c>
      <c r="R68" s="56" t="n">
        <f aca="false">R$34+$B68*R$59-R$38</f>
        <v>90000</v>
      </c>
      <c r="S68" s="56" t="n">
        <f aca="false">S$34+$B68*S$59-S$38</f>
        <v>0</v>
      </c>
      <c r="T68" s="56" t="n">
        <f aca="false">T$34+$B68*T$59-T$38</f>
        <v>90000</v>
      </c>
      <c r="U68" s="56" t="n">
        <f aca="false">U$34+$B68*U$59-U$38</f>
        <v>0</v>
      </c>
      <c r="V68" s="56" t="n">
        <f aca="false">V$34+$B68*V$59-V$38</f>
        <v>0</v>
      </c>
      <c r="W68" s="56" t="n">
        <f aca="false">W$34+$B68*W$59-W$38</f>
        <v>91845.1</v>
      </c>
      <c r="X68" s="56" t="n">
        <f aca="false">X$34+$B68*X$59-X$38</f>
        <v>91845.1</v>
      </c>
      <c r="Y68" s="56" t="n">
        <f aca="false">Y$34+$B68*Y$59-Y$38</f>
        <v>0</v>
      </c>
      <c r="Z68" s="56" t="n">
        <f aca="false">Z$34+$B68*Z$59-Z$38</f>
        <v>0</v>
      </c>
      <c r="AA68" s="56" t="n">
        <f aca="false">AA$34+$B68*AA$59-AA$38</f>
        <v>0</v>
      </c>
      <c r="AB68" s="56" t="n">
        <f aca="false">AB$34+$B68*AB$59-AB$38</f>
        <v>0</v>
      </c>
      <c r="AC68" s="56" t="n">
        <f aca="false">AC$34+$B68*AC$59-AC$38</f>
        <v>105298.85</v>
      </c>
      <c r="AD68" s="56" t="n">
        <f aca="false">AD$34+$B68*AD$59-AD$38</f>
        <v>105298.85</v>
      </c>
      <c r="AE68" s="56" t="n">
        <f aca="false">AE$34+$B68*AE$59-AE$38</f>
        <v>105298.85</v>
      </c>
      <c r="AF68" s="56" t="n">
        <f aca="false">AF$34+$B68*AF$59-AF$38</f>
        <v>0</v>
      </c>
      <c r="AG68" s="56" t="n">
        <f aca="false">AG$34+$B68*AG$59-AG$38</f>
        <v>54786</v>
      </c>
      <c r="AH68" s="56" t="n">
        <f aca="false">AH$34+$B68*AH$59-AH$38</f>
        <v>54786</v>
      </c>
      <c r="AI68" s="56" t="n">
        <f aca="false">AI$34+$B68*AI$59-AI$38</f>
        <v>0</v>
      </c>
      <c r="AJ68" s="56" t="n">
        <f aca="false">AJ$34+$B68*AJ$59-AJ$38</f>
        <v>0</v>
      </c>
      <c r="AK68" s="56" t="n">
        <f aca="false">AK$34+$B68*AK$59-AK$38</f>
        <v>0</v>
      </c>
      <c r="AL68" s="56" t="n">
        <f aca="false">AL$34+$B68*AL$59-AL$38</f>
        <v>0</v>
      </c>
      <c r="AM68" s="56" t="n">
        <f aca="false">AM$34+$B68*AM$59-AM$38</f>
        <v>0</v>
      </c>
      <c r="AN68" s="56" t="n">
        <f aca="false">AN$34+$B68*AN$59-AN$38</f>
        <v>0</v>
      </c>
      <c r="AO68" s="56" t="n">
        <f aca="false">AO$34+$B68*AO$59-AO$38</f>
        <v>56392</v>
      </c>
      <c r="AP68" s="56" t="n">
        <f aca="false">AP$34+$B68*AP$59-AP$38</f>
        <v>0</v>
      </c>
      <c r="AQ68" s="56" t="n">
        <f aca="false">AQ$34+$B68*AQ$59-AQ$38</f>
        <v>0</v>
      </c>
      <c r="AR68" s="56" t="n">
        <f aca="false">AR$34+$B68*AR$59-AR$38</f>
        <v>84076</v>
      </c>
      <c r="AS68" s="56" t="n">
        <f aca="false">AS$34+$B68*AS$59-AS$38</f>
        <v>84076</v>
      </c>
      <c r="AT68" s="56" t="n">
        <f aca="false">AT$34+$B68*AT$59-AT$38</f>
        <v>0</v>
      </c>
      <c r="AU68" s="56" t="n">
        <f aca="false">AU$34+$B68*AU$59-AU$38</f>
        <v>71600</v>
      </c>
      <c r="AV68" s="56" t="n">
        <f aca="false">AV$34+$B68*AV$59-AV$38</f>
        <v>89930</v>
      </c>
      <c r="AW68" s="56" t="n">
        <f aca="false">AW$34+$B68*AW$59-AW$38</f>
        <v>84076</v>
      </c>
      <c r="AX68" s="56" t="n">
        <f aca="false">AX$34+$B68*AX$59-AX$38</f>
        <v>84076</v>
      </c>
    </row>
    <row r="69" customFormat="false" ht="15" hidden="false" customHeight="false" outlineLevel="0" collapsed="false">
      <c r="A69" s="14" t="s">
        <v>479</v>
      </c>
      <c r="B69" s="55" t="n">
        <v>1000</v>
      </c>
      <c r="C69" s="56" t="n">
        <f aca="false">C$34+$B69*C$59-C$38</f>
        <v>74752.78</v>
      </c>
      <c r="D69" s="56" t="n">
        <f aca="false">D$34+$B69*D$59-D$38</f>
        <v>76534</v>
      </c>
      <c r="E69" s="56" t="n">
        <f aca="false">E$34+$B69*E$59-E$38</f>
        <v>81410.18</v>
      </c>
      <c r="F69" s="56" t="n">
        <f aca="false">F$34+$B69*F$59-F$38</f>
        <v>84380</v>
      </c>
      <c r="G69" s="56" t="n">
        <f aca="false">G$34+$B69*G$59-G$38</f>
        <v>86564</v>
      </c>
      <c r="H69" s="56" t="n">
        <f aca="false">H$34+$B69*H$59-H$38</f>
        <v>90828</v>
      </c>
      <c r="I69" s="56" t="n">
        <f aca="false">I$34+$B69*I$59-I$38</f>
        <v>90828</v>
      </c>
      <c r="J69" s="56" t="n">
        <f aca="false">J$34+$B69*J$59-J$38</f>
        <v>3000</v>
      </c>
      <c r="K69" s="56" t="n">
        <f aca="false">K$34+$B69*K$59-K$38</f>
        <v>3000</v>
      </c>
      <c r="L69" s="56" t="n">
        <f aca="false">L$34+$B69*L$59-L$38</f>
        <v>3000</v>
      </c>
      <c r="M69" s="56" t="n">
        <f aca="false">M$34+$B69*M$59-M$38</f>
        <v>4850</v>
      </c>
      <c r="N69" s="56" t="n">
        <f aca="false">N$34+$B69*N$59-N$38</f>
        <v>4850</v>
      </c>
      <c r="O69" s="56" t="n">
        <f aca="false">O$34+$B69*O$59-O$38</f>
        <v>4850</v>
      </c>
      <c r="P69" s="56" t="n">
        <f aca="false">P$34+$B69*P$59-P$38</f>
        <v>4850</v>
      </c>
      <c r="Q69" s="56" t="n">
        <f aca="false">Q$34+$B69*Q$59-Q$38</f>
        <v>111170</v>
      </c>
      <c r="R69" s="56" t="n">
        <f aca="false">R$34+$B69*R$59-R$38</f>
        <v>111170</v>
      </c>
      <c r="S69" s="56" t="n">
        <f aca="false">S$34+$B69*S$59-S$38</f>
        <v>4850</v>
      </c>
      <c r="T69" s="56" t="n">
        <f aca="false">T$34+$B69*T$59-T$38</f>
        <v>111170</v>
      </c>
      <c r="U69" s="56" t="n">
        <f aca="false">U$34+$B69*U$59-U$38</f>
        <v>4850</v>
      </c>
      <c r="V69" s="56" t="n">
        <f aca="false">V$34+$B69*V$59-V$38</f>
        <v>4850</v>
      </c>
      <c r="W69" s="56" t="n">
        <f aca="false">W$34+$B69*W$59-W$38</f>
        <v>113015.1</v>
      </c>
      <c r="X69" s="56" t="n">
        <f aca="false">X$34+$B69*X$59-X$38</f>
        <v>113015.1</v>
      </c>
      <c r="Y69" s="56" t="n">
        <f aca="false">Y$34+$B69*Y$59-Y$38</f>
        <v>4850</v>
      </c>
      <c r="Z69" s="56" t="n">
        <f aca="false">Z$34+$B69*Z$59-Z$38</f>
        <v>4850</v>
      </c>
      <c r="AA69" s="56" t="n">
        <f aca="false">AA$34+$B69*AA$59-AA$38</f>
        <v>4850</v>
      </c>
      <c r="AB69" s="56" t="n">
        <f aca="false">AB$34+$B69*AB$59-AB$38</f>
        <v>4850</v>
      </c>
      <c r="AC69" s="56" t="n">
        <f aca="false">AC$34+$B69*AC$59-AC$38</f>
        <v>127548.85</v>
      </c>
      <c r="AD69" s="56" t="n">
        <f aca="false">AD$34+$B69*AD$59-AD$38</f>
        <v>127548.85</v>
      </c>
      <c r="AE69" s="56" t="n">
        <f aca="false">AE$34+$B69*AE$59-AE$38</f>
        <v>127548.85</v>
      </c>
      <c r="AF69" s="56" t="n">
        <f aca="false">AF$34+$B69*AF$59-AF$38</f>
        <v>4850</v>
      </c>
      <c r="AG69" s="56" t="n">
        <f aca="false">AG$34+$B69*AG$59-AG$38</f>
        <v>75956</v>
      </c>
      <c r="AH69" s="56" t="n">
        <f aca="false">AH$34+$B69*AH$59-AH$38</f>
        <v>75956</v>
      </c>
      <c r="AI69" s="56" t="n">
        <f aca="false">AI$34+$B69*AI$59-AI$38</f>
        <v>4850</v>
      </c>
      <c r="AJ69" s="56" t="n">
        <f aca="false">AJ$34+$B69*AJ$59-AJ$38</f>
        <v>4850</v>
      </c>
      <c r="AK69" s="56" t="n">
        <f aca="false">AK$34+$B69*AK$59-AK$38</f>
        <v>4850</v>
      </c>
      <c r="AL69" s="56" t="n">
        <f aca="false">AL$34+$B69*AL$59-AL$38</f>
        <v>4850</v>
      </c>
      <c r="AM69" s="56" t="n">
        <f aca="false">AM$34+$B69*AM$59-AM$38</f>
        <v>4850</v>
      </c>
      <c r="AN69" s="56" t="n">
        <f aca="false">AN$34+$B69*AN$59-AN$38</f>
        <v>4850</v>
      </c>
      <c r="AO69" s="56" t="n">
        <f aca="false">AO$34+$B69*AO$59-AO$38</f>
        <v>79602</v>
      </c>
      <c r="AP69" s="56" t="n">
        <f aca="false">AP$34+$B69*AP$59-AP$38</f>
        <v>4850</v>
      </c>
      <c r="AQ69" s="56" t="n">
        <f aca="false">AQ$34+$B69*AQ$59-AQ$38</f>
        <v>4850</v>
      </c>
      <c r="AR69" s="56" t="n">
        <f aca="false">AR$34+$B69*AR$59-AR$38</f>
        <v>104526</v>
      </c>
      <c r="AS69" s="56" t="n">
        <f aca="false">AS$34+$B69*AS$59-AS$38</f>
        <v>104526</v>
      </c>
      <c r="AT69" s="56" t="n">
        <f aca="false">AT$34+$B69*AT$59-AT$38</f>
        <v>4850</v>
      </c>
      <c r="AU69" s="56" t="n">
        <f aca="false">AU$34+$B69*AU$59-AU$38</f>
        <v>89050</v>
      </c>
      <c r="AV69" s="56" t="n">
        <f aca="false">AV$34+$B69*AV$59-AV$38</f>
        <v>114340</v>
      </c>
      <c r="AW69" s="56" t="n">
        <f aca="false">AW$34+$B69*AW$59-AW$38</f>
        <v>104526</v>
      </c>
      <c r="AX69" s="56" t="n">
        <f aca="false">AX$34+$B69*AX$59-AX$38</f>
        <v>104526</v>
      </c>
    </row>
    <row r="70" customFormat="false" ht="15" hidden="false" customHeight="false" outlineLevel="0" collapsed="false">
      <c r="A70" s="14" t="s">
        <v>479</v>
      </c>
      <c r="B70" s="55" t="n">
        <v>1500</v>
      </c>
      <c r="C70" s="56" t="n">
        <f aca="false">C$34+$B70*C$59-C$38</f>
        <v>83332.78</v>
      </c>
      <c r="D70" s="56" t="n">
        <f aca="false">D$34+$B70*D$59-D$38</f>
        <v>85114</v>
      </c>
      <c r="E70" s="56" t="n">
        <f aca="false">E$34+$B70*E$59-E$38</f>
        <v>90350.18</v>
      </c>
      <c r="F70" s="56" t="n">
        <f aca="false">F$34+$B70*F$59-F$38</f>
        <v>93320</v>
      </c>
      <c r="G70" s="56" t="n">
        <f aca="false">G$34+$B70*G$59-G$38</f>
        <v>95504</v>
      </c>
      <c r="H70" s="56" t="n">
        <f aca="false">H$34+$B70*H$59-H$38</f>
        <v>99768</v>
      </c>
      <c r="I70" s="56" t="n">
        <f aca="false">I$34+$B70*I$59-I$38</f>
        <v>99768</v>
      </c>
      <c r="J70" s="56" t="n">
        <f aca="false">J$34+$B70*J$59-J$38</f>
        <v>4500</v>
      </c>
      <c r="K70" s="56" t="n">
        <f aca="false">K$34+$B70*K$59-K$38</f>
        <v>4500</v>
      </c>
      <c r="L70" s="56" t="n">
        <f aca="false">L$34+$B70*L$59-L$38</f>
        <v>4500</v>
      </c>
      <c r="M70" s="56" t="n">
        <f aca="false">M$34+$B70*M$59-M$38</f>
        <v>7275</v>
      </c>
      <c r="N70" s="56" t="n">
        <f aca="false">N$34+$B70*N$59-N$38</f>
        <v>7275</v>
      </c>
      <c r="O70" s="56" t="n">
        <f aca="false">O$34+$B70*O$59-O$38</f>
        <v>7275</v>
      </c>
      <c r="P70" s="56" t="n">
        <f aca="false">P$34+$B70*P$59-P$38</f>
        <v>7275</v>
      </c>
      <c r="Q70" s="56" t="n">
        <f aca="false">Q$34+$B70*Q$59-Q$38</f>
        <v>121755</v>
      </c>
      <c r="R70" s="56" t="n">
        <f aca="false">R$34+$B70*R$59-R$38</f>
        <v>121755</v>
      </c>
      <c r="S70" s="56" t="n">
        <f aca="false">S$34+$B70*S$59-S$38</f>
        <v>7275</v>
      </c>
      <c r="T70" s="56" t="n">
        <f aca="false">T$34+$B70*T$59-T$38</f>
        <v>121755</v>
      </c>
      <c r="U70" s="56" t="n">
        <f aca="false">U$34+$B70*U$59-U$38</f>
        <v>7275</v>
      </c>
      <c r="V70" s="56" t="n">
        <f aca="false">V$34+$B70*V$59-V$38</f>
        <v>7275</v>
      </c>
      <c r="W70" s="56" t="n">
        <f aca="false">W$34+$B70*W$59-W$38</f>
        <v>123600.1</v>
      </c>
      <c r="X70" s="56" t="n">
        <f aca="false">X$34+$B70*X$59-X$38</f>
        <v>123600.1</v>
      </c>
      <c r="Y70" s="56" t="n">
        <f aca="false">Y$34+$B70*Y$59-Y$38</f>
        <v>7275</v>
      </c>
      <c r="Z70" s="56" t="n">
        <f aca="false">Z$34+$B70*Z$59-Z$38</f>
        <v>7275</v>
      </c>
      <c r="AA70" s="56" t="n">
        <f aca="false">AA$34+$B70*AA$59-AA$38</f>
        <v>7275</v>
      </c>
      <c r="AB70" s="56" t="n">
        <f aca="false">AB$34+$B70*AB$59-AB$38</f>
        <v>7275</v>
      </c>
      <c r="AC70" s="56" t="n">
        <f aca="false">AC$34+$B70*AC$59-AC$38</f>
        <v>138673.85</v>
      </c>
      <c r="AD70" s="56" t="n">
        <f aca="false">AD$34+$B70*AD$59-AD$38</f>
        <v>138673.85</v>
      </c>
      <c r="AE70" s="56" t="n">
        <f aca="false">AE$34+$B70*AE$59-AE$38</f>
        <v>138673.85</v>
      </c>
      <c r="AF70" s="56" t="n">
        <f aca="false">AF$34+$B70*AF$59-AF$38</f>
        <v>7275</v>
      </c>
      <c r="AG70" s="56" t="n">
        <f aca="false">AG$34+$B70*AG$59-AG$38</f>
        <v>86541</v>
      </c>
      <c r="AH70" s="56" t="n">
        <f aca="false">AH$34+$B70*AH$59-AH$38</f>
        <v>86541</v>
      </c>
      <c r="AI70" s="56" t="n">
        <f aca="false">AI$34+$B70*AI$59-AI$38</f>
        <v>7275</v>
      </c>
      <c r="AJ70" s="56" t="n">
        <f aca="false">AJ$34+$B70*AJ$59-AJ$38</f>
        <v>7275</v>
      </c>
      <c r="AK70" s="56" t="n">
        <f aca="false">AK$34+$B70*AK$59-AK$38</f>
        <v>7275</v>
      </c>
      <c r="AL70" s="56" t="n">
        <f aca="false">AL$34+$B70*AL$59-AL$38</f>
        <v>7275</v>
      </c>
      <c r="AM70" s="56" t="n">
        <f aca="false">AM$34+$B70*AM$59-AM$38</f>
        <v>7275</v>
      </c>
      <c r="AN70" s="56" t="n">
        <f aca="false">AN$34+$B70*AN$59-AN$38</f>
        <v>7275</v>
      </c>
      <c r="AO70" s="56" t="n">
        <f aca="false">AO$34+$B70*AO$59-AO$38</f>
        <v>91207</v>
      </c>
      <c r="AP70" s="56" t="n">
        <f aca="false">AP$34+$B70*AP$59-AP$38</f>
        <v>7275</v>
      </c>
      <c r="AQ70" s="56" t="n">
        <f aca="false">AQ$34+$B70*AQ$59-AQ$38</f>
        <v>7275</v>
      </c>
      <c r="AR70" s="56" t="n">
        <f aca="false">AR$34+$B70*AR$59-AR$38</f>
        <v>114751</v>
      </c>
      <c r="AS70" s="56" t="n">
        <f aca="false">AS$34+$B70*AS$59-AS$38</f>
        <v>114751</v>
      </c>
      <c r="AT70" s="56" t="n">
        <f aca="false">AT$34+$B70*AT$59-AT$38</f>
        <v>7275</v>
      </c>
      <c r="AU70" s="56" t="n">
        <f aca="false">AU$34+$B70*AU$59-AU$38</f>
        <v>97775</v>
      </c>
      <c r="AV70" s="56" t="n">
        <f aca="false">AV$34+$B70*AV$59-AV$38</f>
        <v>126545</v>
      </c>
      <c r="AW70" s="56" t="n">
        <f aca="false">AW$34+$B70*AW$59-AW$38</f>
        <v>114751</v>
      </c>
      <c r="AX70" s="56" t="n">
        <f aca="false">AX$34+$B70*AX$59-AX$38</f>
        <v>114751</v>
      </c>
    </row>
    <row r="71" customFormat="false" ht="15" hidden="false" customHeight="false" outlineLevel="0" collapsed="false">
      <c r="A71" s="14" t="s">
        <v>479</v>
      </c>
      <c r="B71" s="55" t="n">
        <v>2000</v>
      </c>
      <c r="C71" s="56" t="n">
        <f aca="false">C$34+$B71*C$59-C$38</f>
        <v>91912.78</v>
      </c>
      <c r="D71" s="56" t="n">
        <f aca="false">D$34+$B71*D$59-D$38</f>
        <v>93694</v>
      </c>
      <c r="E71" s="56" t="n">
        <f aca="false">E$34+$B71*E$59-E$38</f>
        <v>99290.18</v>
      </c>
      <c r="F71" s="56" t="n">
        <f aca="false">F$34+$B71*F$59-F$38</f>
        <v>102260</v>
      </c>
      <c r="G71" s="56" t="n">
        <f aca="false">G$34+$B71*G$59-G$38</f>
        <v>104444</v>
      </c>
      <c r="H71" s="56" t="n">
        <f aca="false">H$34+$B71*H$59-H$38</f>
        <v>108708</v>
      </c>
      <c r="I71" s="56" t="n">
        <f aca="false">I$34+$B71*I$59-I$38</f>
        <v>108708</v>
      </c>
      <c r="J71" s="56" t="n">
        <f aca="false">J$34+$B71*J$59-J$38</f>
        <v>6000</v>
      </c>
      <c r="K71" s="56" t="n">
        <f aca="false">K$34+$B71*K$59-K$38</f>
        <v>6000</v>
      </c>
      <c r="L71" s="56" t="n">
        <f aca="false">L$34+$B71*L$59-L$38</f>
        <v>6000</v>
      </c>
      <c r="M71" s="56" t="n">
        <f aca="false">M$34+$B71*M$59-M$38</f>
        <v>9700</v>
      </c>
      <c r="N71" s="56" t="n">
        <f aca="false">N$34+$B71*N$59-N$38</f>
        <v>9700</v>
      </c>
      <c r="O71" s="56" t="n">
        <f aca="false">O$34+$B71*O$59-O$38</f>
        <v>9700</v>
      </c>
      <c r="P71" s="56" t="n">
        <f aca="false">P$34+$B71*P$59-P$38</f>
        <v>9700</v>
      </c>
      <c r="Q71" s="56" t="n">
        <f aca="false">Q$34+$B71*Q$59-Q$38</f>
        <v>132340</v>
      </c>
      <c r="R71" s="56" t="n">
        <f aca="false">R$34+$B71*R$59-R$38</f>
        <v>132340</v>
      </c>
      <c r="S71" s="56" t="n">
        <f aca="false">S$34+$B71*S$59-S$38</f>
        <v>9700</v>
      </c>
      <c r="T71" s="56" t="n">
        <f aca="false">T$34+$B71*T$59-T$38</f>
        <v>132340</v>
      </c>
      <c r="U71" s="56" t="n">
        <f aca="false">U$34+$B71*U$59-U$38</f>
        <v>9700</v>
      </c>
      <c r="V71" s="56" t="n">
        <f aca="false">V$34+$B71*V$59-V$38</f>
        <v>9700</v>
      </c>
      <c r="W71" s="56" t="n">
        <f aca="false">W$34+$B71*W$59-W$38</f>
        <v>134185.1</v>
      </c>
      <c r="X71" s="56" t="n">
        <f aca="false">X$34+$B71*X$59-X$38</f>
        <v>134185.1</v>
      </c>
      <c r="Y71" s="56" t="n">
        <f aca="false">Y$34+$B71*Y$59-Y$38</f>
        <v>9700</v>
      </c>
      <c r="Z71" s="56" t="n">
        <f aca="false">Z$34+$B71*Z$59-Z$38</f>
        <v>9700</v>
      </c>
      <c r="AA71" s="56" t="n">
        <f aca="false">AA$34+$B71*AA$59-AA$38</f>
        <v>9700</v>
      </c>
      <c r="AB71" s="56" t="n">
        <f aca="false">AB$34+$B71*AB$59-AB$38</f>
        <v>9700</v>
      </c>
      <c r="AC71" s="56" t="n">
        <f aca="false">AC$34+$B71*AC$59-AC$38</f>
        <v>149798.85</v>
      </c>
      <c r="AD71" s="56" t="n">
        <f aca="false">AD$34+$B71*AD$59-AD$38</f>
        <v>149798.85</v>
      </c>
      <c r="AE71" s="56" t="n">
        <f aca="false">AE$34+$B71*AE$59-AE$38</f>
        <v>149798.85</v>
      </c>
      <c r="AF71" s="56" t="n">
        <f aca="false">AF$34+$B71*AF$59-AF$38</f>
        <v>9700</v>
      </c>
      <c r="AG71" s="56" t="n">
        <f aca="false">AG$34+$B71*AG$59-AG$38</f>
        <v>97126</v>
      </c>
      <c r="AH71" s="56" t="n">
        <f aca="false">AH$34+$B71*AH$59-AH$38</f>
        <v>97126</v>
      </c>
      <c r="AI71" s="56" t="n">
        <f aca="false">AI$34+$B71*AI$59-AI$38</f>
        <v>9700</v>
      </c>
      <c r="AJ71" s="56" t="n">
        <f aca="false">AJ$34+$B71*AJ$59-AJ$38</f>
        <v>9700</v>
      </c>
      <c r="AK71" s="56" t="n">
        <f aca="false">AK$34+$B71*AK$59-AK$38</f>
        <v>9700</v>
      </c>
      <c r="AL71" s="56" t="n">
        <f aca="false">AL$34+$B71*AL$59-AL$38</f>
        <v>9700</v>
      </c>
      <c r="AM71" s="56" t="n">
        <f aca="false">AM$34+$B71*AM$59-AM$38</f>
        <v>9700</v>
      </c>
      <c r="AN71" s="56" t="n">
        <f aca="false">AN$34+$B71*AN$59-AN$38</f>
        <v>9700</v>
      </c>
      <c r="AO71" s="56" t="n">
        <f aca="false">AO$34+$B71*AO$59-AO$38</f>
        <v>102812</v>
      </c>
      <c r="AP71" s="56" t="n">
        <f aca="false">AP$34+$B71*AP$59-AP$38</f>
        <v>9700</v>
      </c>
      <c r="AQ71" s="56" t="n">
        <f aca="false">AQ$34+$B71*AQ$59-AQ$38</f>
        <v>9700</v>
      </c>
      <c r="AR71" s="56" t="n">
        <f aca="false">AR$34+$B71*AR$59-AR$38</f>
        <v>124976</v>
      </c>
      <c r="AS71" s="56" t="n">
        <f aca="false">AS$34+$B71*AS$59-AS$38</f>
        <v>124976</v>
      </c>
      <c r="AT71" s="56" t="n">
        <f aca="false">AT$34+$B71*AT$59-AT$38</f>
        <v>9700</v>
      </c>
      <c r="AU71" s="56" t="n">
        <f aca="false">AU$34+$B71*AU$59-AU$38</f>
        <v>106500</v>
      </c>
      <c r="AV71" s="56" t="n">
        <f aca="false">AV$34+$B71*AV$59-AV$38</f>
        <v>138750</v>
      </c>
      <c r="AW71" s="56" t="n">
        <f aca="false">AW$34+$B71*AW$59-AW$38</f>
        <v>124976</v>
      </c>
      <c r="AX71" s="56" t="n">
        <f aca="false">AX$34+$B71*AX$59-AX$38</f>
        <v>124976</v>
      </c>
    </row>
    <row r="72" customFormat="false" ht="15" hidden="false" customHeight="false" outlineLevel="0" collapsed="false">
      <c r="A72" s="14" t="s">
        <v>479</v>
      </c>
      <c r="B72" s="55" t="n">
        <v>2500</v>
      </c>
      <c r="C72" s="56" t="n">
        <f aca="false">C$34+$B72*C$59-C$38</f>
        <v>100492.78</v>
      </c>
      <c r="D72" s="56" t="n">
        <f aca="false">D$34+$B72*D$59-D$38</f>
        <v>102274</v>
      </c>
      <c r="E72" s="56" t="n">
        <f aca="false">E$34+$B72*E$59-E$38</f>
        <v>108230.18</v>
      </c>
      <c r="F72" s="56" t="n">
        <f aca="false">F$34+$B72*F$59-F$38</f>
        <v>111200</v>
      </c>
      <c r="G72" s="56" t="n">
        <f aca="false">G$34+$B72*G$59-G$38</f>
        <v>113384</v>
      </c>
      <c r="H72" s="56" t="n">
        <f aca="false">H$34+$B72*H$59-H$38</f>
        <v>117648</v>
      </c>
      <c r="I72" s="56" t="n">
        <f aca="false">I$34+$B72*I$59-I$38</f>
        <v>117648</v>
      </c>
      <c r="J72" s="56" t="n">
        <f aca="false">J$34+$B72*J$59-J$38</f>
        <v>7500</v>
      </c>
      <c r="K72" s="56" t="n">
        <f aca="false">K$34+$B72*K$59-K$38</f>
        <v>7500</v>
      </c>
      <c r="L72" s="56" t="n">
        <f aca="false">L$34+$B72*L$59-L$38</f>
        <v>7500</v>
      </c>
      <c r="M72" s="56" t="n">
        <f aca="false">M$34+$B72*M$59-M$38</f>
        <v>12125</v>
      </c>
      <c r="N72" s="56" t="n">
        <f aca="false">N$34+$B72*N$59-N$38</f>
        <v>12125</v>
      </c>
      <c r="O72" s="56" t="n">
        <f aca="false">O$34+$B72*O$59-O$38</f>
        <v>12125</v>
      </c>
      <c r="P72" s="56" t="n">
        <f aca="false">P$34+$B72*P$59-P$38</f>
        <v>12125</v>
      </c>
      <c r="Q72" s="56" t="n">
        <f aca="false">Q$34+$B72*Q$59-Q$38</f>
        <v>142925</v>
      </c>
      <c r="R72" s="56" t="n">
        <f aca="false">R$34+$B72*R$59-R$38</f>
        <v>142925</v>
      </c>
      <c r="S72" s="56" t="n">
        <f aca="false">S$34+$B72*S$59-S$38</f>
        <v>12125</v>
      </c>
      <c r="T72" s="56" t="n">
        <f aca="false">T$34+$B72*T$59-T$38</f>
        <v>142925</v>
      </c>
      <c r="U72" s="56" t="n">
        <f aca="false">U$34+$B72*U$59-U$38</f>
        <v>12125</v>
      </c>
      <c r="V72" s="56" t="n">
        <f aca="false">V$34+$B72*V$59-V$38</f>
        <v>12125</v>
      </c>
      <c r="W72" s="56" t="n">
        <f aca="false">W$34+$B72*W$59-W$38</f>
        <v>144770.1</v>
      </c>
      <c r="X72" s="56" t="n">
        <f aca="false">X$34+$B72*X$59-X$38</f>
        <v>144770.1</v>
      </c>
      <c r="Y72" s="56" t="n">
        <f aca="false">Y$34+$B72*Y$59-Y$38</f>
        <v>12125</v>
      </c>
      <c r="Z72" s="56" t="n">
        <f aca="false">Z$34+$B72*Z$59-Z$38</f>
        <v>12125</v>
      </c>
      <c r="AA72" s="56" t="n">
        <f aca="false">AA$34+$B72*AA$59-AA$38</f>
        <v>12125</v>
      </c>
      <c r="AB72" s="56" t="n">
        <f aca="false">AB$34+$B72*AB$59-AB$38</f>
        <v>12125</v>
      </c>
      <c r="AC72" s="56" t="n">
        <f aca="false">AC$34+$B72*AC$59-AC$38</f>
        <v>160923.85</v>
      </c>
      <c r="AD72" s="56" t="n">
        <f aca="false">AD$34+$B72*AD$59-AD$38</f>
        <v>160923.85</v>
      </c>
      <c r="AE72" s="56" t="n">
        <f aca="false">AE$34+$B72*AE$59-AE$38</f>
        <v>160923.85</v>
      </c>
      <c r="AF72" s="56" t="n">
        <f aca="false">AF$34+$B72*AF$59-AF$38</f>
        <v>12125</v>
      </c>
      <c r="AG72" s="56" t="n">
        <f aca="false">AG$34+$B72*AG$59-AG$38</f>
        <v>107711</v>
      </c>
      <c r="AH72" s="56" t="n">
        <f aca="false">AH$34+$B72*AH$59-AH$38</f>
        <v>107711</v>
      </c>
      <c r="AI72" s="56" t="n">
        <f aca="false">AI$34+$B72*AI$59-AI$38</f>
        <v>12125</v>
      </c>
      <c r="AJ72" s="56" t="n">
        <f aca="false">AJ$34+$B72*AJ$59-AJ$38</f>
        <v>12125</v>
      </c>
      <c r="AK72" s="56" t="n">
        <f aca="false">AK$34+$B72*AK$59-AK$38</f>
        <v>12125</v>
      </c>
      <c r="AL72" s="56" t="n">
        <f aca="false">AL$34+$B72*AL$59-AL$38</f>
        <v>12125</v>
      </c>
      <c r="AM72" s="56" t="n">
        <f aca="false">AM$34+$B72*AM$59-AM$38</f>
        <v>12125</v>
      </c>
      <c r="AN72" s="56" t="n">
        <f aca="false">AN$34+$B72*AN$59-AN$38</f>
        <v>12125</v>
      </c>
      <c r="AO72" s="56" t="n">
        <f aca="false">AO$34+$B72*AO$59-AO$38</f>
        <v>114417</v>
      </c>
      <c r="AP72" s="56" t="n">
        <f aca="false">AP$34+$B72*AP$59-AP$38</f>
        <v>12125</v>
      </c>
      <c r="AQ72" s="56" t="n">
        <f aca="false">AQ$34+$B72*AQ$59-AQ$38</f>
        <v>12125</v>
      </c>
      <c r="AR72" s="56" t="n">
        <f aca="false">AR$34+$B72*AR$59-AR$38</f>
        <v>135201</v>
      </c>
      <c r="AS72" s="56" t="n">
        <f aca="false">AS$34+$B72*AS$59-AS$38</f>
        <v>135201</v>
      </c>
      <c r="AT72" s="56" t="n">
        <f aca="false">AT$34+$B72*AT$59-AT$38</f>
        <v>12125</v>
      </c>
      <c r="AU72" s="56" t="n">
        <f aca="false">AU$34+$B72*AU$59-AU$38</f>
        <v>115225</v>
      </c>
      <c r="AV72" s="56" t="n">
        <f aca="false">AV$34+$B72*AV$59-AV$38</f>
        <v>150955</v>
      </c>
      <c r="AW72" s="56" t="n">
        <f aca="false">AW$34+$B72*AW$59-AW$38</f>
        <v>135201</v>
      </c>
      <c r="AX72" s="56" t="n">
        <f aca="false">AX$34+$B72*AX$59-AX$38</f>
        <v>135201</v>
      </c>
    </row>
    <row r="73" customFormat="false" ht="15" hidden="false" customHeight="false" outlineLevel="0" collapsed="false">
      <c r="A73" s="14" t="s">
        <v>479</v>
      </c>
      <c r="B73" s="55" t="n">
        <v>3000</v>
      </c>
      <c r="C73" s="56" t="n">
        <f aca="false">C$34+$B73*C$59-C$38</f>
        <v>109072.78</v>
      </c>
      <c r="D73" s="56" t="n">
        <f aca="false">D$34+$B73*D$59-D$38</f>
        <v>110854</v>
      </c>
      <c r="E73" s="56" t="n">
        <f aca="false">E$34+$B73*E$59-E$38</f>
        <v>117170.18</v>
      </c>
      <c r="F73" s="56" t="n">
        <f aca="false">F$34+$B73*F$59-F$38</f>
        <v>120140</v>
      </c>
      <c r="G73" s="56" t="n">
        <f aca="false">G$34+$B73*G$59-G$38</f>
        <v>122324</v>
      </c>
      <c r="H73" s="56" t="n">
        <f aca="false">H$34+$B73*H$59-H$38</f>
        <v>126588</v>
      </c>
      <c r="I73" s="56" t="n">
        <f aca="false">I$34+$B73*I$59-I$38</f>
        <v>126588</v>
      </c>
      <c r="J73" s="56" t="n">
        <f aca="false">J$34+$B73*J$59-J$38</f>
        <v>9000</v>
      </c>
      <c r="K73" s="56" t="n">
        <f aca="false">K$34+$B73*K$59-K$38</f>
        <v>9000</v>
      </c>
      <c r="L73" s="56" t="n">
        <f aca="false">L$34+$B73*L$59-L$38</f>
        <v>9000</v>
      </c>
      <c r="M73" s="56" t="n">
        <f aca="false">M$34+$B73*M$59-M$38</f>
        <v>14550</v>
      </c>
      <c r="N73" s="56" t="n">
        <f aca="false">N$34+$B73*N$59-N$38</f>
        <v>14550</v>
      </c>
      <c r="O73" s="56" t="n">
        <f aca="false">O$34+$B73*O$59-O$38</f>
        <v>14550</v>
      </c>
      <c r="P73" s="56" t="n">
        <f aca="false">P$34+$B73*P$59-P$38</f>
        <v>14550</v>
      </c>
      <c r="Q73" s="56" t="n">
        <f aca="false">Q$34+$B73*Q$59-Q$38</f>
        <v>153510</v>
      </c>
      <c r="R73" s="56" t="n">
        <f aca="false">R$34+$B73*R$59-R$38</f>
        <v>153510</v>
      </c>
      <c r="S73" s="56" t="n">
        <f aca="false">S$34+$B73*S$59-S$38</f>
        <v>14550</v>
      </c>
      <c r="T73" s="56" t="n">
        <f aca="false">T$34+$B73*T$59-T$38</f>
        <v>153510</v>
      </c>
      <c r="U73" s="56" t="n">
        <f aca="false">U$34+$B73*U$59-U$38</f>
        <v>14550</v>
      </c>
      <c r="V73" s="56" t="n">
        <f aca="false">V$34+$B73*V$59-V$38</f>
        <v>14550</v>
      </c>
      <c r="W73" s="56" t="n">
        <f aca="false">W$34+$B73*W$59-W$38</f>
        <v>155355.1</v>
      </c>
      <c r="X73" s="56" t="n">
        <f aca="false">X$34+$B73*X$59-X$38</f>
        <v>155355.1</v>
      </c>
      <c r="Y73" s="56" t="n">
        <f aca="false">Y$34+$B73*Y$59-Y$38</f>
        <v>14550</v>
      </c>
      <c r="Z73" s="56" t="n">
        <f aca="false">Z$34+$B73*Z$59-Z$38</f>
        <v>14550</v>
      </c>
      <c r="AA73" s="56" t="n">
        <f aca="false">AA$34+$B73*AA$59-AA$38</f>
        <v>14550</v>
      </c>
      <c r="AB73" s="56" t="n">
        <f aca="false">AB$34+$B73*AB$59-AB$38</f>
        <v>14550</v>
      </c>
      <c r="AC73" s="56" t="n">
        <f aca="false">AC$34+$B73*AC$59-AC$38</f>
        <v>172048.85</v>
      </c>
      <c r="AD73" s="56" t="n">
        <f aca="false">AD$34+$B73*AD$59-AD$38</f>
        <v>172048.85</v>
      </c>
      <c r="AE73" s="56" t="n">
        <f aca="false">AE$34+$B73*AE$59-AE$38</f>
        <v>172048.85</v>
      </c>
      <c r="AF73" s="56" t="n">
        <f aca="false">AF$34+$B73*AF$59-AF$38</f>
        <v>14550</v>
      </c>
      <c r="AG73" s="56" t="n">
        <f aca="false">AG$34+$B73*AG$59-AG$38</f>
        <v>118296</v>
      </c>
      <c r="AH73" s="56" t="n">
        <f aca="false">AH$34+$B73*AH$59-AH$38</f>
        <v>118296</v>
      </c>
      <c r="AI73" s="56" t="n">
        <f aca="false">AI$34+$B73*AI$59-AI$38</f>
        <v>14550</v>
      </c>
      <c r="AJ73" s="56" t="n">
        <f aca="false">AJ$34+$B73*AJ$59-AJ$38</f>
        <v>14550</v>
      </c>
      <c r="AK73" s="56" t="n">
        <f aca="false">AK$34+$B73*AK$59-AK$38</f>
        <v>14550</v>
      </c>
      <c r="AL73" s="56" t="n">
        <f aca="false">AL$34+$B73*AL$59-AL$38</f>
        <v>14550</v>
      </c>
      <c r="AM73" s="56" t="n">
        <f aca="false">AM$34+$B73*AM$59-AM$38</f>
        <v>14550</v>
      </c>
      <c r="AN73" s="56" t="n">
        <f aca="false">AN$34+$B73*AN$59-AN$38</f>
        <v>14550</v>
      </c>
      <c r="AO73" s="56" t="n">
        <f aca="false">AO$34+$B73*AO$59-AO$38</f>
        <v>126022</v>
      </c>
      <c r="AP73" s="56" t="n">
        <f aca="false">AP$34+$B73*AP$59-AP$38</f>
        <v>14550</v>
      </c>
      <c r="AQ73" s="56" t="n">
        <f aca="false">AQ$34+$B73*AQ$59-AQ$38</f>
        <v>14550</v>
      </c>
      <c r="AR73" s="56" t="n">
        <f aca="false">AR$34+$B73*AR$59-AR$38</f>
        <v>145426</v>
      </c>
      <c r="AS73" s="56" t="n">
        <f aca="false">AS$34+$B73*AS$59-AS$38</f>
        <v>145426</v>
      </c>
      <c r="AT73" s="56" t="n">
        <f aca="false">AT$34+$B73*AT$59-AT$38</f>
        <v>14550</v>
      </c>
      <c r="AU73" s="56" t="n">
        <f aca="false">AU$34+$B73*AU$59-AU$38</f>
        <v>123950</v>
      </c>
      <c r="AV73" s="56" t="n">
        <f aca="false">AV$34+$B73*AV$59-AV$38</f>
        <v>163160</v>
      </c>
      <c r="AW73" s="56" t="n">
        <f aca="false">AW$34+$B73*AW$59-AW$38</f>
        <v>145426</v>
      </c>
      <c r="AX73" s="56" t="n">
        <f aca="false">AX$34+$B73*AX$59-AX$38</f>
        <v>145426</v>
      </c>
    </row>
    <row r="74" customFormat="false" ht="15" hidden="false" customHeight="false" outlineLevel="0" collapsed="false">
      <c r="A74" s="14" t="s">
        <v>479</v>
      </c>
      <c r="B74" s="55" t="n">
        <v>4000</v>
      </c>
      <c r="C74" s="56" t="n">
        <f aca="false">C$34+$B74*C$59-C$38</f>
        <v>126232.78</v>
      </c>
      <c r="D74" s="56" t="n">
        <f aca="false">D$34+$B74*D$59-D$38</f>
        <v>128014</v>
      </c>
      <c r="E74" s="56" t="n">
        <f aca="false">E$34+$B74*E$59-E$38</f>
        <v>135050.18</v>
      </c>
      <c r="F74" s="56" t="n">
        <f aca="false">F$34+$B74*F$59-F$38</f>
        <v>138020</v>
      </c>
      <c r="G74" s="56" t="n">
        <f aca="false">G$34+$B74*G$59-G$38</f>
        <v>140204</v>
      </c>
      <c r="H74" s="56" t="n">
        <f aca="false">H$34+$B74*H$59-H$38</f>
        <v>144468</v>
      </c>
      <c r="I74" s="56" t="n">
        <f aca="false">I$34+$B74*I$59-I$38</f>
        <v>144468</v>
      </c>
      <c r="J74" s="56" t="n">
        <f aca="false">J$34+$B74*J$59-J$38</f>
        <v>12000</v>
      </c>
      <c r="K74" s="56" t="n">
        <f aca="false">K$34+$B74*K$59-K$38</f>
        <v>12000</v>
      </c>
      <c r="L74" s="56" t="n">
        <f aca="false">L$34+$B74*L$59-L$38</f>
        <v>12000</v>
      </c>
      <c r="M74" s="56" t="n">
        <f aca="false">M$34+$B74*M$59-M$38</f>
        <v>19400</v>
      </c>
      <c r="N74" s="56" t="n">
        <f aca="false">N$34+$B74*N$59-N$38</f>
        <v>19400</v>
      </c>
      <c r="O74" s="56" t="n">
        <f aca="false">O$34+$B74*O$59-O$38</f>
        <v>19400</v>
      </c>
      <c r="P74" s="56" t="n">
        <f aca="false">P$34+$B74*P$59-P$38</f>
        <v>19400</v>
      </c>
      <c r="Q74" s="56" t="n">
        <f aca="false">Q$34+$B74*Q$59-Q$38</f>
        <v>174680</v>
      </c>
      <c r="R74" s="56" t="n">
        <f aca="false">R$34+$B74*R$59-R$38</f>
        <v>174680</v>
      </c>
      <c r="S74" s="56" t="n">
        <f aca="false">S$34+$B74*S$59-S$38</f>
        <v>19400</v>
      </c>
      <c r="T74" s="56" t="n">
        <f aca="false">T$34+$B74*T$59-T$38</f>
        <v>174680</v>
      </c>
      <c r="U74" s="56" t="n">
        <f aca="false">U$34+$B74*U$59-U$38</f>
        <v>19400</v>
      </c>
      <c r="V74" s="56" t="n">
        <f aca="false">V$34+$B74*V$59-V$38</f>
        <v>19400</v>
      </c>
      <c r="W74" s="56" t="n">
        <f aca="false">W$34+$B74*W$59-W$38</f>
        <v>176525.1</v>
      </c>
      <c r="X74" s="56" t="n">
        <f aca="false">X$34+$B74*X$59-X$38</f>
        <v>176525.1</v>
      </c>
      <c r="Y74" s="56" t="n">
        <f aca="false">Y$34+$B74*Y$59-Y$38</f>
        <v>19400</v>
      </c>
      <c r="Z74" s="56" t="n">
        <f aca="false">Z$34+$B74*Z$59-Z$38</f>
        <v>19400</v>
      </c>
      <c r="AA74" s="56" t="n">
        <f aca="false">AA$34+$B74*AA$59-AA$38</f>
        <v>19400</v>
      </c>
      <c r="AB74" s="56" t="n">
        <f aca="false">AB$34+$B74*AB$59-AB$38</f>
        <v>19400</v>
      </c>
      <c r="AC74" s="56" t="n">
        <f aca="false">AC$34+$B74*AC$59-AC$38</f>
        <v>194298.85</v>
      </c>
      <c r="AD74" s="56" t="n">
        <f aca="false">AD$34+$B74*AD$59-AD$38</f>
        <v>194298.85</v>
      </c>
      <c r="AE74" s="56" t="n">
        <f aca="false">AE$34+$B74*AE$59-AE$38</f>
        <v>194298.85</v>
      </c>
      <c r="AF74" s="56" t="n">
        <f aca="false">AF$34+$B74*AF$59-AF$38</f>
        <v>19400</v>
      </c>
      <c r="AG74" s="56" t="n">
        <f aca="false">AG$34+$B74*AG$59-AG$38</f>
        <v>139466</v>
      </c>
      <c r="AH74" s="56" t="n">
        <f aca="false">AH$34+$B74*AH$59-AH$38</f>
        <v>139466</v>
      </c>
      <c r="AI74" s="56" t="n">
        <f aca="false">AI$34+$B74*AI$59-AI$38</f>
        <v>19400</v>
      </c>
      <c r="AJ74" s="56" t="n">
        <f aca="false">AJ$34+$B74*AJ$59-AJ$38</f>
        <v>19400</v>
      </c>
      <c r="AK74" s="56" t="n">
        <f aca="false">AK$34+$B74*AK$59-AK$38</f>
        <v>19400</v>
      </c>
      <c r="AL74" s="56" t="n">
        <f aca="false">AL$34+$B74*AL$59-AL$38</f>
        <v>19400</v>
      </c>
      <c r="AM74" s="56" t="n">
        <f aca="false">AM$34+$B74*AM$59-AM$38</f>
        <v>19400</v>
      </c>
      <c r="AN74" s="56" t="n">
        <f aca="false">AN$34+$B74*AN$59-AN$38</f>
        <v>19400</v>
      </c>
      <c r="AO74" s="56" t="n">
        <f aca="false">AO$34+$B74*AO$59-AO$38</f>
        <v>149232</v>
      </c>
      <c r="AP74" s="56" t="n">
        <f aca="false">AP$34+$B74*AP$59-AP$38</f>
        <v>19400</v>
      </c>
      <c r="AQ74" s="56" t="n">
        <f aca="false">AQ$34+$B74*AQ$59-AQ$38</f>
        <v>19400</v>
      </c>
      <c r="AR74" s="56" t="n">
        <f aca="false">AR$34+$B74*AR$59-AR$38</f>
        <v>165876</v>
      </c>
      <c r="AS74" s="56" t="n">
        <f aca="false">AS$34+$B74*AS$59-AS$38</f>
        <v>165876</v>
      </c>
      <c r="AT74" s="56" t="n">
        <f aca="false">AT$34+$B74*AT$59-AT$38</f>
        <v>19400</v>
      </c>
      <c r="AU74" s="56" t="n">
        <f aca="false">AU$34+$B74*AU$59-AU$38</f>
        <v>141400</v>
      </c>
      <c r="AV74" s="56" t="n">
        <f aca="false">AV$34+$B74*AV$59-AV$38</f>
        <v>187570</v>
      </c>
      <c r="AW74" s="56" t="n">
        <f aca="false">AW$34+$B74*AW$59-AW$38</f>
        <v>165876</v>
      </c>
      <c r="AX74" s="56" t="n">
        <f aca="false">AX$34+$B74*AX$59-AX$38</f>
        <v>165876</v>
      </c>
    </row>
    <row r="75" customFormat="false" ht="15" hidden="false" customHeight="false" outlineLevel="0" collapsed="false">
      <c r="A75" s="14" t="s">
        <v>479</v>
      </c>
      <c r="B75" s="55" t="n">
        <v>5000</v>
      </c>
      <c r="C75" s="56" t="n">
        <f aca="false">C$34+$B75*C$59-C$38</f>
        <v>143392.78</v>
      </c>
      <c r="D75" s="56" t="n">
        <f aca="false">D$34+$B75*D$59-D$38</f>
        <v>145174</v>
      </c>
      <c r="E75" s="56" t="n">
        <f aca="false">E$34+$B75*E$59-E$38</f>
        <v>152930.18</v>
      </c>
      <c r="F75" s="56" t="n">
        <f aca="false">F$34+$B75*F$59-F$38</f>
        <v>155900</v>
      </c>
      <c r="G75" s="56" t="n">
        <f aca="false">G$34+$B75*G$59-G$38</f>
        <v>158084</v>
      </c>
      <c r="H75" s="56" t="n">
        <f aca="false">H$34+$B75*H$59-H$38</f>
        <v>162348</v>
      </c>
      <c r="I75" s="56" t="n">
        <f aca="false">I$34+$B75*I$59-I$38</f>
        <v>162348</v>
      </c>
      <c r="J75" s="56" t="n">
        <f aca="false">J$34+$B75*J$59-J$38</f>
        <v>15000</v>
      </c>
      <c r="K75" s="56" t="n">
        <f aca="false">K$34+$B75*K$59-K$38</f>
        <v>15000</v>
      </c>
      <c r="L75" s="56" t="n">
        <f aca="false">L$34+$B75*L$59-L$38</f>
        <v>15000</v>
      </c>
      <c r="M75" s="56" t="n">
        <f aca="false">M$34+$B75*M$59-M$38</f>
        <v>24250</v>
      </c>
      <c r="N75" s="56" t="n">
        <f aca="false">N$34+$B75*N$59-N$38</f>
        <v>24250</v>
      </c>
      <c r="O75" s="56" t="n">
        <f aca="false">O$34+$B75*O$59-O$38</f>
        <v>24250</v>
      </c>
      <c r="P75" s="56" t="n">
        <f aca="false">P$34+$B75*P$59-P$38</f>
        <v>24250</v>
      </c>
      <c r="Q75" s="56" t="n">
        <f aca="false">Q$34+$B75*Q$59-Q$38</f>
        <v>195850</v>
      </c>
      <c r="R75" s="56" t="n">
        <f aca="false">R$34+$B75*R$59-R$38</f>
        <v>195850</v>
      </c>
      <c r="S75" s="56" t="n">
        <f aca="false">S$34+$B75*S$59-S$38</f>
        <v>24250</v>
      </c>
      <c r="T75" s="56" t="n">
        <f aca="false">T$34+$B75*T$59-T$38</f>
        <v>195850</v>
      </c>
      <c r="U75" s="56" t="n">
        <f aca="false">U$34+$B75*U$59-U$38</f>
        <v>24250</v>
      </c>
      <c r="V75" s="56" t="n">
        <f aca="false">V$34+$B75*V$59-V$38</f>
        <v>24250</v>
      </c>
      <c r="W75" s="56" t="n">
        <f aca="false">W$34+$B75*W$59-W$38</f>
        <v>197695.1</v>
      </c>
      <c r="X75" s="56" t="n">
        <f aca="false">X$34+$B75*X$59-X$38</f>
        <v>197695.1</v>
      </c>
      <c r="Y75" s="56" t="n">
        <f aca="false">Y$34+$B75*Y$59-Y$38</f>
        <v>24250</v>
      </c>
      <c r="Z75" s="56" t="n">
        <f aca="false">Z$34+$B75*Z$59-Z$38</f>
        <v>24250</v>
      </c>
      <c r="AA75" s="56" t="n">
        <f aca="false">AA$34+$B75*AA$59-AA$38</f>
        <v>24250</v>
      </c>
      <c r="AB75" s="56" t="n">
        <f aca="false">AB$34+$B75*AB$59-AB$38</f>
        <v>24250</v>
      </c>
      <c r="AC75" s="56" t="n">
        <f aca="false">AC$34+$B75*AC$59-AC$38</f>
        <v>216548.85</v>
      </c>
      <c r="AD75" s="56" t="n">
        <f aca="false">AD$34+$B75*AD$59-AD$38</f>
        <v>216548.85</v>
      </c>
      <c r="AE75" s="56" t="n">
        <f aca="false">AE$34+$B75*AE$59-AE$38</f>
        <v>216548.85</v>
      </c>
      <c r="AF75" s="56" t="n">
        <f aca="false">AF$34+$B75*AF$59-AF$38</f>
        <v>24250</v>
      </c>
      <c r="AG75" s="56" t="n">
        <f aca="false">AG$34+$B75*AG$59-AG$38</f>
        <v>160636</v>
      </c>
      <c r="AH75" s="56" t="n">
        <f aca="false">AH$34+$B75*AH$59-AH$38</f>
        <v>160636</v>
      </c>
      <c r="AI75" s="56" t="n">
        <f aca="false">AI$34+$B75*AI$59-AI$38</f>
        <v>24250</v>
      </c>
      <c r="AJ75" s="56" t="n">
        <f aca="false">AJ$34+$B75*AJ$59-AJ$38</f>
        <v>24250</v>
      </c>
      <c r="AK75" s="56" t="n">
        <f aca="false">AK$34+$B75*AK$59-AK$38</f>
        <v>24250</v>
      </c>
      <c r="AL75" s="56" t="n">
        <f aca="false">AL$34+$B75*AL$59-AL$38</f>
        <v>24250</v>
      </c>
      <c r="AM75" s="56" t="n">
        <f aca="false">AM$34+$B75*AM$59-AM$38</f>
        <v>24250</v>
      </c>
      <c r="AN75" s="56" t="n">
        <f aca="false">AN$34+$B75*AN$59-AN$38</f>
        <v>24250</v>
      </c>
      <c r="AO75" s="56" t="n">
        <f aca="false">AO$34+$B75*AO$59-AO$38</f>
        <v>172442</v>
      </c>
      <c r="AP75" s="56" t="n">
        <f aca="false">AP$34+$B75*AP$59-AP$38</f>
        <v>24250</v>
      </c>
      <c r="AQ75" s="56" t="n">
        <f aca="false">AQ$34+$B75*AQ$59-AQ$38</f>
        <v>24250</v>
      </c>
      <c r="AR75" s="56" t="n">
        <f aca="false">AR$34+$B75*AR$59-AR$38</f>
        <v>186326</v>
      </c>
      <c r="AS75" s="56" t="n">
        <f aca="false">AS$34+$B75*AS$59-AS$38</f>
        <v>186326</v>
      </c>
      <c r="AT75" s="56" t="n">
        <f aca="false">AT$34+$B75*AT$59-AT$38</f>
        <v>24250</v>
      </c>
      <c r="AU75" s="56" t="n">
        <f aca="false">AU$34+$B75*AU$59-AU$38</f>
        <v>158850</v>
      </c>
      <c r="AV75" s="56" t="n">
        <f aca="false">AV$34+$B75*AV$59-AV$38</f>
        <v>211980</v>
      </c>
      <c r="AW75" s="56" t="n">
        <f aca="false">AW$34+$B75*AW$59-AW$38</f>
        <v>186326</v>
      </c>
      <c r="AX75" s="56" t="n">
        <f aca="false">AX$34+$B75*AX$59-AX$38</f>
        <v>186326</v>
      </c>
    </row>
    <row r="76" customFormat="false" ht="15" hidden="false" customHeight="false" outlineLevel="0" collapsed="false">
      <c r="A76" s="14" t="s">
        <v>479</v>
      </c>
      <c r="B76" s="55" t="n">
        <v>6000</v>
      </c>
      <c r="C76" s="56" t="n">
        <f aca="false">C$34+$B76*C$59-C$38</f>
        <v>160552.78</v>
      </c>
      <c r="D76" s="56" t="n">
        <f aca="false">D$34+$B76*D$59-D$38</f>
        <v>162334</v>
      </c>
      <c r="E76" s="56" t="n">
        <f aca="false">E$34+$B76*E$59-E$38</f>
        <v>170810.18</v>
      </c>
      <c r="F76" s="56" t="n">
        <f aca="false">F$34+$B76*F$59-F$38</f>
        <v>173780</v>
      </c>
      <c r="G76" s="56" t="n">
        <f aca="false">G$34+$B76*G$59-G$38</f>
        <v>175964</v>
      </c>
      <c r="H76" s="56" t="n">
        <f aca="false">H$34+$B76*H$59-H$38</f>
        <v>180228</v>
      </c>
      <c r="I76" s="56" t="n">
        <f aca="false">I$34+$B76*I$59-I$38</f>
        <v>180228</v>
      </c>
      <c r="J76" s="56" t="n">
        <f aca="false">J$34+$B76*J$59-J$38</f>
        <v>18000</v>
      </c>
      <c r="K76" s="56" t="n">
        <f aca="false">K$34+$B76*K$59-K$38</f>
        <v>18000</v>
      </c>
      <c r="L76" s="56" t="n">
        <f aca="false">L$34+$B76*L$59-L$38</f>
        <v>18000</v>
      </c>
      <c r="M76" s="56" t="n">
        <f aca="false">M$34+$B76*M$59-M$38</f>
        <v>29100</v>
      </c>
      <c r="N76" s="56" t="n">
        <f aca="false">N$34+$B76*N$59-N$38</f>
        <v>29100</v>
      </c>
      <c r="O76" s="56" t="n">
        <f aca="false">O$34+$B76*O$59-O$38</f>
        <v>29100</v>
      </c>
      <c r="P76" s="56" t="n">
        <f aca="false">P$34+$B76*P$59-P$38</f>
        <v>29100</v>
      </c>
      <c r="Q76" s="56" t="n">
        <f aca="false">Q$34+$B76*Q$59-Q$38</f>
        <v>217020</v>
      </c>
      <c r="R76" s="56" t="n">
        <f aca="false">R$34+$B76*R$59-R$38</f>
        <v>217020</v>
      </c>
      <c r="S76" s="56" t="n">
        <f aca="false">S$34+$B76*S$59-S$38</f>
        <v>29100</v>
      </c>
      <c r="T76" s="56" t="n">
        <f aca="false">T$34+$B76*T$59-T$38</f>
        <v>217020</v>
      </c>
      <c r="U76" s="56" t="n">
        <f aca="false">U$34+$B76*U$59-U$38</f>
        <v>29100</v>
      </c>
      <c r="V76" s="56" t="n">
        <f aca="false">V$34+$B76*V$59-V$38</f>
        <v>29100</v>
      </c>
      <c r="W76" s="56" t="n">
        <f aca="false">W$34+$B76*W$59-W$38</f>
        <v>218865.1</v>
      </c>
      <c r="X76" s="56" t="n">
        <f aca="false">X$34+$B76*X$59-X$38</f>
        <v>218865.1</v>
      </c>
      <c r="Y76" s="56" t="n">
        <f aca="false">Y$34+$B76*Y$59-Y$38</f>
        <v>29100</v>
      </c>
      <c r="Z76" s="56" t="n">
        <f aca="false">Z$34+$B76*Z$59-Z$38</f>
        <v>29100</v>
      </c>
      <c r="AA76" s="56" t="n">
        <f aca="false">AA$34+$B76*AA$59-AA$38</f>
        <v>29100</v>
      </c>
      <c r="AB76" s="56" t="n">
        <f aca="false">AB$34+$B76*AB$59-AB$38</f>
        <v>29100</v>
      </c>
      <c r="AC76" s="56" t="n">
        <f aca="false">AC$34+$B76*AC$59-AC$38</f>
        <v>238798.85</v>
      </c>
      <c r="AD76" s="56" t="n">
        <f aca="false">AD$34+$B76*AD$59-AD$38</f>
        <v>238798.85</v>
      </c>
      <c r="AE76" s="56" t="n">
        <f aca="false">AE$34+$B76*AE$59-AE$38</f>
        <v>238798.85</v>
      </c>
      <c r="AF76" s="56" t="n">
        <f aca="false">AF$34+$B76*AF$59-AF$38</f>
        <v>29100</v>
      </c>
      <c r="AG76" s="56" t="n">
        <f aca="false">AG$34+$B76*AG$59-AG$38</f>
        <v>181806</v>
      </c>
      <c r="AH76" s="56" t="n">
        <f aca="false">AH$34+$B76*AH$59-AH$38</f>
        <v>181806</v>
      </c>
      <c r="AI76" s="56" t="n">
        <f aca="false">AI$34+$B76*AI$59-AI$38</f>
        <v>29100</v>
      </c>
      <c r="AJ76" s="56" t="n">
        <f aca="false">AJ$34+$B76*AJ$59-AJ$38</f>
        <v>29100</v>
      </c>
      <c r="AK76" s="56" t="n">
        <f aca="false">AK$34+$B76*AK$59-AK$38</f>
        <v>29100</v>
      </c>
      <c r="AL76" s="56" t="n">
        <f aca="false">AL$34+$B76*AL$59-AL$38</f>
        <v>29100</v>
      </c>
      <c r="AM76" s="56" t="n">
        <f aca="false">AM$34+$B76*AM$59-AM$38</f>
        <v>29100</v>
      </c>
      <c r="AN76" s="56" t="n">
        <f aca="false">AN$34+$B76*AN$59-AN$38</f>
        <v>29100</v>
      </c>
      <c r="AO76" s="56" t="n">
        <f aca="false">AO$34+$B76*AO$59-AO$38</f>
        <v>195652</v>
      </c>
      <c r="AP76" s="56" t="n">
        <f aca="false">AP$34+$B76*AP$59-AP$38</f>
        <v>29100</v>
      </c>
      <c r="AQ76" s="56" t="n">
        <f aca="false">AQ$34+$B76*AQ$59-AQ$38</f>
        <v>29100</v>
      </c>
      <c r="AR76" s="56" t="n">
        <f aca="false">AR$34+$B76*AR$59-AR$38</f>
        <v>206776</v>
      </c>
      <c r="AS76" s="56" t="n">
        <f aca="false">AS$34+$B76*AS$59-AS$38</f>
        <v>206776</v>
      </c>
      <c r="AT76" s="56" t="n">
        <f aca="false">AT$34+$B76*AT$59-AT$38</f>
        <v>29100</v>
      </c>
      <c r="AU76" s="56" t="n">
        <f aca="false">AU$34+$B76*AU$59-AU$38</f>
        <v>176300</v>
      </c>
      <c r="AV76" s="56" t="n">
        <f aca="false">AV$34+$B76*AV$59-AV$38</f>
        <v>236390</v>
      </c>
      <c r="AW76" s="56" t="n">
        <f aca="false">AW$34+$B76*AW$59-AW$38</f>
        <v>206776</v>
      </c>
      <c r="AX76" s="56" t="n">
        <f aca="false">AX$34+$B76*AX$59-AX$38</f>
        <v>206776</v>
      </c>
    </row>
    <row r="77" customFormat="false" ht="15" hidden="false" customHeight="false" outlineLevel="0" collapsed="false">
      <c r="A77" s="14" t="s">
        <v>479</v>
      </c>
      <c r="B77" s="55" t="n">
        <v>7000</v>
      </c>
      <c r="C77" s="56" t="n">
        <f aca="false">C$34+$B77*C$59-C$38</f>
        <v>177712.78</v>
      </c>
      <c r="D77" s="56" t="n">
        <f aca="false">D$34+$B77*D$59-D$38</f>
        <v>179494</v>
      </c>
      <c r="E77" s="56" t="n">
        <f aca="false">E$34+$B77*E$59-E$38</f>
        <v>188690.18</v>
      </c>
      <c r="F77" s="56" t="n">
        <f aca="false">F$34+$B77*F$59-F$38</f>
        <v>191660</v>
      </c>
      <c r="G77" s="56" t="n">
        <f aca="false">G$34+$B77*G$59-G$38</f>
        <v>193844</v>
      </c>
      <c r="H77" s="56" t="n">
        <f aca="false">H$34+$B77*H$59-H$38</f>
        <v>198108</v>
      </c>
      <c r="I77" s="56" t="n">
        <f aca="false">I$34+$B77*I$59-I$38</f>
        <v>198108</v>
      </c>
      <c r="J77" s="56" t="n">
        <f aca="false">J$34+$B77*J$59-J$38</f>
        <v>21000</v>
      </c>
      <c r="K77" s="56" t="n">
        <f aca="false">K$34+$B77*K$59-K$38</f>
        <v>21000</v>
      </c>
      <c r="L77" s="56" t="n">
        <f aca="false">L$34+$B77*L$59-L$38</f>
        <v>21000</v>
      </c>
      <c r="M77" s="56" t="n">
        <f aca="false">M$34+$B77*M$59-M$38</f>
        <v>33950</v>
      </c>
      <c r="N77" s="56" t="n">
        <f aca="false">N$34+$B77*N$59-N$38</f>
        <v>33950</v>
      </c>
      <c r="O77" s="56" t="n">
        <f aca="false">O$34+$B77*O$59-O$38</f>
        <v>33950</v>
      </c>
      <c r="P77" s="56" t="n">
        <f aca="false">P$34+$B77*P$59-P$38</f>
        <v>33950</v>
      </c>
      <c r="Q77" s="56" t="n">
        <f aca="false">Q$34+$B77*Q$59-Q$38</f>
        <v>238190</v>
      </c>
      <c r="R77" s="56" t="n">
        <f aca="false">R$34+$B77*R$59-R$38</f>
        <v>238190</v>
      </c>
      <c r="S77" s="56" t="n">
        <f aca="false">S$34+$B77*S$59-S$38</f>
        <v>33950</v>
      </c>
      <c r="T77" s="56" t="n">
        <f aca="false">T$34+$B77*T$59-T$38</f>
        <v>238190</v>
      </c>
      <c r="U77" s="56" t="n">
        <f aca="false">U$34+$B77*U$59-U$38</f>
        <v>33950</v>
      </c>
      <c r="V77" s="56" t="n">
        <f aca="false">V$34+$B77*V$59-V$38</f>
        <v>33950</v>
      </c>
      <c r="W77" s="56" t="n">
        <f aca="false">W$34+$B77*W$59-W$38</f>
        <v>240035.1</v>
      </c>
      <c r="X77" s="56" t="n">
        <f aca="false">X$34+$B77*X$59-X$38</f>
        <v>240035.1</v>
      </c>
      <c r="Y77" s="56" t="n">
        <f aca="false">Y$34+$B77*Y$59-Y$38</f>
        <v>33950</v>
      </c>
      <c r="Z77" s="56" t="n">
        <f aca="false">Z$34+$B77*Z$59-Z$38</f>
        <v>33950</v>
      </c>
      <c r="AA77" s="56" t="n">
        <f aca="false">AA$34+$B77*AA$59-AA$38</f>
        <v>33950</v>
      </c>
      <c r="AB77" s="56" t="n">
        <f aca="false">AB$34+$B77*AB$59-AB$38</f>
        <v>33950</v>
      </c>
      <c r="AC77" s="56" t="n">
        <f aca="false">AC$34+$B77*AC$59-AC$38</f>
        <v>261048.85</v>
      </c>
      <c r="AD77" s="56" t="n">
        <f aca="false">AD$34+$B77*AD$59-AD$38</f>
        <v>261048.85</v>
      </c>
      <c r="AE77" s="56" t="n">
        <f aca="false">AE$34+$B77*AE$59-AE$38</f>
        <v>261048.85</v>
      </c>
      <c r="AF77" s="56" t="n">
        <f aca="false">AF$34+$B77*AF$59-AF$38</f>
        <v>33950</v>
      </c>
      <c r="AG77" s="56" t="n">
        <f aca="false">AG$34+$B77*AG$59-AG$38</f>
        <v>202976</v>
      </c>
      <c r="AH77" s="56" t="n">
        <f aca="false">AH$34+$B77*AH$59-AH$38</f>
        <v>202976</v>
      </c>
      <c r="AI77" s="56" t="n">
        <f aca="false">AI$34+$B77*AI$59-AI$38</f>
        <v>33950</v>
      </c>
      <c r="AJ77" s="56" t="n">
        <f aca="false">AJ$34+$B77*AJ$59-AJ$38</f>
        <v>33950</v>
      </c>
      <c r="AK77" s="56" t="n">
        <f aca="false">AK$34+$B77*AK$59-AK$38</f>
        <v>33950</v>
      </c>
      <c r="AL77" s="56" t="n">
        <f aca="false">AL$34+$B77*AL$59-AL$38</f>
        <v>33950</v>
      </c>
      <c r="AM77" s="56" t="n">
        <f aca="false">AM$34+$B77*AM$59-AM$38</f>
        <v>33950</v>
      </c>
      <c r="AN77" s="56" t="n">
        <f aca="false">AN$34+$B77*AN$59-AN$38</f>
        <v>33950</v>
      </c>
      <c r="AO77" s="56" t="n">
        <f aca="false">AO$34+$B77*AO$59-AO$38</f>
        <v>218862</v>
      </c>
      <c r="AP77" s="56" t="n">
        <f aca="false">AP$34+$B77*AP$59-AP$38</f>
        <v>33950</v>
      </c>
      <c r="AQ77" s="56" t="n">
        <f aca="false">AQ$34+$B77*AQ$59-AQ$38</f>
        <v>33950</v>
      </c>
      <c r="AR77" s="56" t="n">
        <f aca="false">AR$34+$B77*AR$59-AR$38</f>
        <v>227226</v>
      </c>
      <c r="AS77" s="56" t="n">
        <f aca="false">AS$34+$B77*AS$59-AS$38</f>
        <v>227226</v>
      </c>
      <c r="AT77" s="56" t="n">
        <f aca="false">AT$34+$B77*AT$59-AT$38</f>
        <v>33950</v>
      </c>
      <c r="AU77" s="56" t="n">
        <f aca="false">AU$34+$B77*AU$59-AU$38</f>
        <v>193750</v>
      </c>
      <c r="AV77" s="56" t="n">
        <f aca="false">AV$34+$B77*AV$59-AV$38</f>
        <v>260800</v>
      </c>
      <c r="AW77" s="56" t="n">
        <f aca="false">AW$34+$B77*AW$59-AW$38</f>
        <v>227226</v>
      </c>
      <c r="AX77" s="56" t="n">
        <f aca="false">AX$34+$B77*AX$59-AX$38</f>
        <v>227226</v>
      </c>
    </row>
    <row r="78" customFormat="false" ht="15" hidden="false" customHeight="false" outlineLevel="0" collapsed="false">
      <c r="A78" s="14" t="s">
        <v>479</v>
      </c>
      <c r="B78" s="55" t="n">
        <v>8000</v>
      </c>
      <c r="C78" s="56" t="n">
        <f aca="false">C$34+$B78*C$59-C$38</f>
        <v>194872.78</v>
      </c>
      <c r="D78" s="56" t="n">
        <f aca="false">D$34+$B78*D$59-D$38</f>
        <v>196654</v>
      </c>
      <c r="E78" s="56" t="n">
        <f aca="false">E$34+$B78*E$59-E$38</f>
        <v>206570.18</v>
      </c>
      <c r="F78" s="56" t="n">
        <f aca="false">F$34+$B78*F$59-F$38</f>
        <v>209540</v>
      </c>
      <c r="G78" s="56" t="n">
        <f aca="false">G$34+$B78*G$59-G$38</f>
        <v>211724</v>
      </c>
      <c r="H78" s="56" t="n">
        <f aca="false">H$34+$B78*H$59-H$38</f>
        <v>215988</v>
      </c>
      <c r="I78" s="56" t="n">
        <f aca="false">I$34+$B78*I$59-I$38</f>
        <v>215988</v>
      </c>
      <c r="J78" s="56" t="n">
        <f aca="false">J$34+$B78*J$59-J$38</f>
        <v>24000</v>
      </c>
      <c r="K78" s="56" t="n">
        <f aca="false">K$34+$B78*K$59-K$38</f>
        <v>24000</v>
      </c>
      <c r="L78" s="56" t="n">
        <f aca="false">L$34+$B78*L$59-L$38</f>
        <v>24000</v>
      </c>
      <c r="M78" s="56" t="n">
        <f aca="false">M$34+$B78*M$59-M$38</f>
        <v>38800</v>
      </c>
      <c r="N78" s="56" t="n">
        <f aca="false">N$34+$B78*N$59-N$38</f>
        <v>38800</v>
      </c>
      <c r="O78" s="56" t="n">
        <f aca="false">O$34+$B78*O$59-O$38</f>
        <v>38800</v>
      </c>
      <c r="P78" s="56" t="n">
        <f aca="false">P$34+$B78*P$59-P$38</f>
        <v>38800</v>
      </c>
      <c r="Q78" s="56" t="n">
        <f aca="false">Q$34+$B78*Q$59-Q$38</f>
        <v>259360</v>
      </c>
      <c r="R78" s="56" t="n">
        <f aca="false">R$34+$B78*R$59-R$38</f>
        <v>259360</v>
      </c>
      <c r="S78" s="56" t="n">
        <f aca="false">S$34+$B78*S$59-S$38</f>
        <v>38800</v>
      </c>
      <c r="T78" s="56" t="n">
        <f aca="false">T$34+$B78*T$59-T$38</f>
        <v>259360</v>
      </c>
      <c r="U78" s="56" t="n">
        <f aca="false">U$34+$B78*U$59-U$38</f>
        <v>38800</v>
      </c>
      <c r="V78" s="56" t="n">
        <f aca="false">V$34+$B78*V$59-V$38</f>
        <v>38800</v>
      </c>
      <c r="W78" s="56" t="n">
        <f aca="false">W$34+$B78*W$59-W$38</f>
        <v>261205.1</v>
      </c>
      <c r="X78" s="56" t="n">
        <f aca="false">X$34+$B78*X$59-X$38</f>
        <v>261205.1</v>
      </c>
      <c r="Y78" s="56" t="n">
        <f aca="false">Y$34+$B78*Y$59-Y$38</f>
        <v>38800</v>
      </c>
      <c r="Z78" s="56" t="n">
        <f aca="false">Z$34+$B78*Z$59-Z$38</f>
        <v>38800</v>
      </c>
      <c r="AA78" s="56" t="n">
        <f aca="false">AA$34+$B78*AA$59-AA$38</f>
        <v>38800</v>
      </c>
      <c r="AB78" s="56" t="n">
        <f aca="false">AB$34+$B78*AB$59-AB$38</f>
        <v>38800</v>
      </c>
      <c r="AC78" s="56" t="n">
        <f aca="false">AC$34+$B78*AC$59-AC$38</f>
        <v>283298.85</v>
      </c>
      <c r="AD78" s="56" t="n">
        <f aca="false">AD$34+$B78*AD$59-AD$38</f>
        <v>283298.85</v>
      </c>
      <c r="AE78" s="56" t="n">
        <f aca="false">AE$34+$B78*AE$59-AE$38</f>
        <v>283298.85</v>
      </c>
      <c r="AF78" s="56" t="n">
        <f aca="false">AF$34+$B78*AF$59-AF$38</f>
        <v>38800</v>
      </c>
      <c r="AG78" s="56" t="n">
        <f aca="false">AG$34+$B78*AG$59-AG$38</f>
        <v>224146</v>
      </c>
      <c r="AH78" s="56" t="n">
        <f aca="false">AH$34+$B78*AH$59-AH$38</f>
        <v>224146</v>
      </c>
      <c r="AI78" s="56" t="n">
        <f aca="false">AI$34+$B78*AI$59-AI$38</f>
        <v>38800</v>
      </c>
      <c r="AJ78" s="56" t="n">
        <f aca="false">AJ$34+$B78*AJ$59-AJ$38</f>
        <v>38800</v>
      </c>
      <c r="AK78" s="56" t="n">
        <f aca="false">AK$34+$B78*AK$59-AK$38</f>
        <v>38800</v>
      </c>
      <c r="AL78" s="56" t="n">
        <f aca="false">AL$34+$B78*AL$59-AL$38</f>
        <v>38800</v>
      </c>
      <c r="AM78" s="56" t="n">
        <f aca="false">AM$34+$B78*AM$59-AM$38</f>
        <v>38800</v>
      </c>
      <c r="AN78" s="56" t="n">
        <f aca="false">AN$34+$B78*AN$59-AN$38</f>
        <v>38800</v>
      </c>
      <c r="AO78" s="56" t="n">
        <f aca="false">AO$34+$B78*AO$59-AO$38</f>
        <v>242072</v>
      </c>
      <c r="AP78" s="56" t="n">
        <f aca="false">AP$34+$B78*AP$59-AP$38</f>
        <v>38800</v>
      </c>
      <c r="AQ78" s="56" t="n">
        <f aca="false">AQ$34+$B78*AQ$59-AQ$38</f>
        <v>38800</v>
      </c>
      <c r="AR78" s="56" t="n">
        <f aca="false">AR$34+$B78*AR$59-AR$38</f>
        <v>247676</v>
      </c>
      <c r="AS78" s="56" t="n">
        <f aca="false">AS$34+$B78*AS$59-AS$38</f>
        <v>247676</v>
      </c>
      <c r="AT78" s="56" t="n">
        <f aca="false">AT$34+$B78*AT$59-AT$38</f>
        <v>38800</v>
      </c>
      <c r="AU78" s="56" t="n">
        <f aca="false">AU$34+$B78*AU$59-AU$38</f>
        <v>211200</v>
      </c>
      <c r="AV78" s="56" t="n">
        <f aca="false">AV$34+$B78*AV$59-AV$38</f>
        <v>285210</v>
      </c>
      <c r="AW78" s="56" t="n">
        <f aca="false">AW$34+$B78*AW$59-AW$38</f>
        <v>247676</v>
      </c>
      <c r="AX78" s="56" t="n">
        <f aca="false">AX$34+$B78*AX$59-AX$38</f>
        <v>247676</v>
      </c>
    </row>
    <row r="79" customFormat="false" ht="15" hidden="false" customHeight="false" outlineLevel="0" collapsed="false">
      <c r="A79" s="14" t="s">
        <v>479</v>
      </c>
      <c r="B79" s="55" t="n">
        <v>9000</v>
      </c>
      <c r="C79" s="56" t="n">
        <f aca="false">C$34+$B79*C$59-C$38</f>
        <v>212032.78</v>
      </c>
      <c r="D79" s="56" t="n">
        <f aca="false">D$34+$B79*D$59-D$38</f>
        <v>213814</v>
      </c>
      <c r="E79" s="56" t="n">
        <f aca="false">E$34+$B79*E$59-E$38</f>
        <v>224450.18</v>
      </c>
      <c r="F79" s="56" t="n">
        <f aca="false">F$34+$B79*F$59-F$38</f>
        <v>227420</v>
      </c>
      <c r="G79" s="56" t="n">
        <f aca="false">G$34+$B79*G$59-G$38</f>
        <v>229604</v>
      </c>
      <c r="H79" s="56" t="n">
        <f aca="false">H$34+$B79*H$59-H$38</f>
        <v>233868</v>
      </c>
      <c r="I79" s="56" t="n">
        <f aca="false">I$34+$B79*I$59-I$38</f>
        <v>233868</v>
      </c>
      <c r="J79" s="56" t="n">
        <f aca="false">J$34+$B79*J$59-J$38</f>
        <v>27000</v>
      </c>
      <c r="K79" s="56" t="n">
        <f aca="false">K$34+$B79*K$59-K$38</f>
        <v>27000</v>
      </c>
      <c r="L79" s="56" t="n">
        <f aca="false">L$34+$B79*L$59-L$38</f>
        <v>27000</v>
      </c>
      <c r="M79" s="56" t="n">
        <f aca="false">M$34+$B79*M$59-M$38</f>
        <v>43650</v>
      </c>
      <c r="N79" s="56" t="n">
        <f aca="false">N$34+$B79*N$59-N$38</f>
        <v>43650</v>
      </c>
      <c r="O79" s="56" t="n">
        <f aca="false">O$34+$B79*O$59-O$38</f>
        <v>43650</v>
      </c>
      <c r="P79" s="56" t="n">
        <f aca="false">P$34+$B79*P$59-P$38</f>
        <v>43650</v>
      </c>
      <c r="Q79" s="56" t="n">
        <f aca="false">Q$34+$B79*Q$59-Q$38</f>
        <v>280530</v>
      </c>
      <c r="R79" s="56" t="n">
        <f aca="false">R$34+$B79*R$59-R$38</f>
        <v>280530</v>
      </c>
      <c r="S79" s="56" t="n">
        <f aca="false">S$34+$B79*S$59-S$38</f>
        <v>43650</v>
      </c>
      <c r="T79" s="56" t="n">
        <f aca="false">T$34+$B79*T$59-T$38</f>
        <v>280530</v>
      </c>
      <c r="U79" s="56" t="n">
        <f aca="false">U$34+$B79*U$59-U$38</f>
        <v>43650</v>
      </c>
      <c r="V79" s="56" t="n">
        <f aca="false">V$34+$B79*V$59-V$38</f>
        <v>43650</v>
      </c>
      <c r="W79" s="56" t="n">
        <f aca="false">W$34+$B79*W$59-W$38</f>
        <v>282375.1</v>
      </c>
      <c r="X79" s="56" t="n">
        <f aca="false">X$34+$B79*X$59-X$38</f>
        <v>282375.1</v>
      </c>
      <c r="Y79" s="56" t="n">
        <f aca="false">Y$34+$B79*Y$59-Y$38</f>
        <v>43650</v>
      </c>
      <c r="Z79" s="56" t="n">
        <f aca="false">Z$34+$B79*Z$59-Z$38</f>
        <v>43650</v>
      </c>
      <c r="AA79" s="56" t="n">
        <f aca="false">AA$34+$B79*AA$59-AA$38</f>
        <v>43650</v>
      </c>
      <c r="AB79" s="56" t="n">
        <f aca="false">AB$34+$B79*AB$59-AB$38</f>
        <v>43650</v>
      </c>
      <c r="AC79" s="56" t="n">
        <f aca="false">AC$34+$B79*AC$59-AC$38</f>
        <v>305548.85</v>
      </c>
      <c r="AD79" s="56" t="n">
        <f aca="false">AD$34+$B79*AD$59-AD$38</f>
        <v>305548.85</v>
      </c>
      <c r="AE79" s="56" t="n">
        <f aca="false">AE$34+$B79*AE$59-AE$38</f>
        <v>305548.85</v>
      </c>
      <c r="AF79" s="56" t="n">
        <f aca="false">AF$34+$B79*AF$59-AF$38</f>
        <v>43650</v>
      </c>
      <c r="AG79" s="56" t="n">
        <f aca="false">AG$34+$B79*AG$59-AG$38</f>
        <v>245316</v>
      </c>
      <c r="AH79" s="56" t="n">
        <f aca="false">AH$34+$B79*AH$59-AH$38</f>
        <v>245316</v>
      </c>
      <c r="AI79" s="56" t="n">
        <f aca="false">AI$34+$B79*AI$59-AI$38</f>
        <v>43650</v>
      </c>
      <c r="AJ79" s="56" t="n">
        <f aca="false">AJ$34+$B79*AJ$59-AJ$38</f>
        <v>43650</v>
      </c>
      <c r="AK79" s="56" t="n">
        <f aca="false">AK$34+$B79*AK$59-AK$38</f>
        <v>43650</v>
      </c>
      <c r="AL79" s="56" t="n">
        <f aca="false">AL$34+$B79*AL$59-AL$38</f>
        <v>43650</v>
      </c>
      <c r="AM79" s="56" t="n">
        <f aca="false">AM$34+$B79*AM$59-AM$38</f>
        <v>43650</v>
      </c>
      <c r="AN79" s="56" t="n">
        <f aca="false">AN$34+$B79*AN$59-AN$38</f>
        <v>43650</v>
      </c>
      <c r="AO79" s="56" t="n">
        <f aca="false">AO$34+$B79*AO$59-AO$38</f>
        <v>265282</v>
      </c>
      <c r="AP79" s="56" t="n">
        <f aca="false">AP$34+$B79*AP$59-AP$38</f>
        <v>43650</v>
      </c>
      <c r="AQ79" s="56" t="n">
        <f aca="false">AQ$34+$B79*AQ$59-AQ$38</f>
        <v>43650</v>
      </c>
      <c r="AR79" s="56" t="n">
        <f aca="false">AR$34+$B79*AR$59-AR$38</f>
        <v>268126</v>
      </c>
      <c r="AS79" s="56" t="n">
        <f aca="false">AS$34+$B79*AS$59-AS$38</f>
        <v>268126</v>
      </c>
      <c r="AT79" s="56" t="n">
        <f aca="false">AT$34+$B79*AT$59-AT$38</f>
        <v>43650</v>
      </c>
      <c r="AU79" s="56" t="n">
        <f aca="false">AU$34+$B79*AU$59-AU$38</f>
        <v>228650</v>
      </c>
      <c r="AV79" s="56" t="n">
        <f aca="false">AV$34+$B79*AV$59-AV$38</f>
        <v>309620</v>
      </c>
      <c r="AW79" s="56" t="n">
        <f aca="false">AW$34+$B79*AW$59-AW$38</f>
        <v>268126</v>
      </c>
      <c r="AX79" s="56" t="n">
        <f aca="false">AX$34+$B79*AX$59-AX$38</f>
        <v>268126</v>
      </c>
    </row>
    <row r="80" customFormat="false" ht="15" hidden="false" customHeight="false" outlineLevel="0" collapsed="false">
      <c r="A80" s="14" t="s">
        <v>479</v>
      </c>
      <c r="B80" s="55" t="n">
        <v>10000</v>
      </c>
      <c r="C80" s="56" t="n">
        <f aca="false">C$34+$B80*C$59-C$38</f>
        <v>229192.78</v>
      </c>
      <c r="D80" s="56" t="n">
        <f aca="false">D$34+$B80*D$59-D$38</f>
        <v>230974</v>
      </c>
      <c r="E80" s="56" t="n">
        <f aca="false">E$34+$B80*E$59-E$38</f>
        <v>242330.18</v>
      </c>
      <c r="F80" s="56" t="n">
        <f aca="false">F$34+$B80*F$59-F$38</f>
        <v>245300</v>
      </c>
      <c r="G80" s="56" t="n">
        <f aca="false">G$34+$B80*G$59-G$38</f>
        <v>247484</v>
      </c>
      <c r="H80" s="56" t="n">
        <f aca="false">H$34+$B80*H$59-H$38</f>
        <v>251748</v>
      </c>
      <c r="I80" s="56" t="n">
        <f aca="false">I$34+$B80*I$59-I$38</f>
        <v>251748</v>
      </c>
      <c r="J80" s="56" t="n">
        <f aca="false">J$34+$B80*J$59-J$38</f>
        <v>30000</v>
      </c>
      <c r="K80" s="56" t="n">
        <f aca="false">K$34+$B80*K$59-K$38</f>
        <v>30000</v>
      </c>
      <c r="L80" s="56" t="n">
        <f aca="false">L$34+$B80*L$59-L$38</f>
        <v>30000</v>
      </c>
      <c r="M80" s="56" t="n">
        <f aca="false">M$34+$B80*M$59-M$38</f>
        <v>48500</v>
      </c>
      <c r="N80" s="56" t="n">
        <f aca="false">N$34+$B80*N$59-N$38</f>
        <v>48500</v>
      </c>
      <c r="O80" s="56" t="n">
        <f aca="false">O$34+$B80*O$59-O$38</f>
        <v>48500</v>
      </c>
      <c r="P80" s="56" t="n">
        <f aca="false">P$34+$B80*P$59-P$38</f>
        <v>48500</v>
      </c>
      <c r="Q80" s="56" t="n">
        <f aca="false">Q$34+$B80*Q$59-Q$38</f>
        <v>301700</v>
      </c>
      <c r="R80" s="56" t="n">
        <f aca="false">R$34+$B80*R$59-R$38</f>
        <v>301700</v>
      </c>
      <c r="S80" s="56" t="n">
        <f aca="false">S$34+$B80*S$59-S$38</f>
        <v>48500</v>
      </c>
      <c r="T80" s="56" t="n">
        <f aca="false">T$34+$B80*T$59-T$38</f>
        <v>301700</v>
      </c>
      <c r="U80" s="56" t="n">
        <f aca="false">U$34+$B80*U$59-U$38</f>
        <v>48500</v>
      </c>
      <c r="V80" s="56" t="n">
        <f aca="false">V$34+$B80*V$59-V$38</f>
        <v>48500</v>
      </c>
      <c r="W80" s="56" t="n">
        <f aca="false">W$34+$B80*W$59-W$38</f>
        <v>303545.1</v>
      </c>
      <c r="X80" s="56" t="n">
        <f aca="false">X$34+$B80*X$59-X$38</f>
        <v>303545.1</v>
      </c>
      <c r="Y80" s="56" t="n">
        <f aca="false">Y$34+$B80*Y$59-Y$38</f>
        <v>48500</v>
      </c>
      <c r="Z80" s="56" t="n">
        <f aca="false">Z$34+$B80*Z$59-Z$38</f>
        <v>48500</v>
      </c>
      <c r="AA80" s="56" t="n">
        <f aca="false">AA$34+$B80*AA$59-AA$38</f>
        <v>48500</v>
      </c>
      <c r="AB80" s="56" t="n">
        <f aca="false">AB$34+$B80*AB$59-AB$38</f>
        <v>48500</v>
      </c>
      <c r="AC80" s="56" t="n">
        <f aca="false">AC$34+$B80*AC$59-AC$38</f>
        <v>327798.85</v>
      </c>
      <c r="AD80" s="56" t="n">
        <f aca="false">AD$34+$B80*AD$59-AD$38</f>
        <v>327798.85</v>
      </c>
      <c r="AE80" s="56" t="n">
        <f aca="false">AE$34+$B80*AE$59-AE$38</f>
        <v>327798.85</v>
      </c>
      <c r="AF80" s="56" t="n">
        <f aca="false">AF$34+$B80*AF$59-AF$38</f>
        <v>48500</v>
      </c>
      <c r="AG80" s="56" t="n">
        <f aca="false">AG$34+$B80*AG$59-AG$38</f>
        <v>266486</v>
      </c>
      <c r="AH80" s="56" t="n">
        <f aca="false">AH$34+$B80*AH$59-AH$38</f>
        <v>266486</v>
      </c>
      <c r="AI80" s="56" t="n">
        <f aca="false">AI$34+$B80*AI$59-AI$38</f>
        <v>48500</v>
      </c>
      <c r="AJ80" s="56" t="n">
        <f aca="false">AJ$34+$B80*AJ$59-AJ$38</f>
        <v>48500</v>
      </c>
      <c r="AK80" s="56" t="n">
        <f aca="false">AK$34+$B80*AK$59-AK$38</f>
        <v>48500</v>
      </c>
      <c r="AL80" s="56" t="n">
        <f aca="false">AL$34+$B80*AL$59-AL$38</f>
        <v>48500</v>
      </c>
      <c r="AM80" s="56" t="n">
        <f aca="false">AM$34+$B80*AM$59-AM$38</f>
        <v>48500</v>
      </c>
      <c r="AN80" s="56" t="n">
        <f aca="false">AN$34+$B80*AN$59-AN$38</f>
        <v>48500</v>
      </c>
      <c r="AO80" s="56" t="n">
        <f aca="false">AO$34+$B80*AO$59-AO$38</f>
        <v>288492</v>
      </c>
      <c r="AP80" s="56" t="n">
        <f aca="false">AP$34+$B80*AP$59-AP$38</f>
        <v>48500</v>
      </c>
      <c r="AQ80" s="56" t="n">
        <f aca="false">AQ$34+$B80*AQ$59-AQ$38</f>
        <v>48500</v>
      </c>
      <c r="AR80" s="56" t="n">
        <f aca="false">AR$34+$B80*AR$59-AR$38</f>
        <v>288576</v>
      </c>
      <c r="AS80" s="56" t="n">
        <f aca="false">AS$34+$B80*AS$59-AS$38</f>
        <v>288576</v>
      </c>
      <c r="AT80" s="56" t="n">
        <f aca="false">AT$34+$B80*AT$59-AT$38</f>
        <v>48500</v>
      </c>
      <c r="AU80" s="56" t="n">
        <f aca="false">AU$34+$B80*AU$59-AU$38</f>
        <v>246100</v>
      </c>
      <c r="AV80" s="56" t="n">
        <f aca="false">AV$34+$B80*AV$59-AV$38</f>
        <v>334030</v>
      </c>
      <c r="AW80" s="56" t="n">
        <f aca="false">AW$34+$B80*AW$59-AW$38</f>
        <v>288576</v>
      </c>
      <c r="AX80" s="56" t="n">
        <f aca="false">AX$34+$B80*AX$59-AX$38</f>
        <v>288576</v>
      </c>
    </row>
    <row r="82" customFormat="false" ht="15" hidden="false" customHeight="false" outlineLevel="0" collapsed="false">
      <c r="A82" s="57" t="s">
        <v>480</v>
      </c>
      <c r="B82" s="4"/>
      <c r="C82" s="4"/>
      <c r="D82" s="4"/>
      <c r="E82" s="4"/>
      <c r="F82" s="4"/>
    </row>
    <row r="83" customFormat="false" ht="30" hidden="false" customHeight="true" outlineLevel="0" collapsed="false">
      <c r="A83" s="9" t="s">
        <v>481</v>
      </c>
      <c r="B83" s="10"/>
      <c r="C83" s="10" t="s">
        <v>482</v>
      </c>
      <c r="D83" s="10" t="s">
        <v>144</v>
      </c>
      <c r="E83" s="10" t="s">
        <v>483</v>
      </c>
    </row>
    <row r="84" customFormat="false" ht="15" hidden="false" customHeight="false" outlineLevel="0" collapsed="false">
      <c r="A84" s="11" t="s">
        <v>484</v>
      </c>
      <c r="B84" s="41" t="s">
        <v>440</v>
      </c>
      <c r="C84" s="27" t="s">
        <v>442</v>
      </c>
      <c r="D84" s="27" t="s">
        <v>441</v>
      </c>
      <c r="E84" s="11"/>
    </row>
    <row r="85" customFormat="false" ht="15" hidden="false" customHeight="false" outlineLevel="0" collapsed="false">
      <c r="A85" s="11" t="s">
        <v>459</v>
      </c>
      <c r="B85" s="41" t="s">
        <v>460</v>
      </c>
      <c r="C85" s="58" t="n">
        <f aca="false">IF(C84="YES",0,OperatingHours/JointInterval)</f>
        <v>60</v>
      </c>
      <c r="D85" s="58" t="n">
        <f aca="false">IF(D84="YES",0,OperatingHours/JointInterval)</f>
        <v>0</v>
      </c>
      <c r="E85" s="58" t="n">
        <f aca="false">C85-D85</f>
        <v>60</v>
      </c>
    </row>
    <row r="86" customFormat="false" ht="15" hidden="false" customHeight="false" outlineLevel="0" collapsed="false">
      <c r="A86" s="11" t="s">
        <v>485</v>
      </c>
      <c r="B86" s="41" t="s">
        <v>61</v>
      </c>
      <c r="C86" s="58" t="n">
        <f aca="false">C85*JointHoursPerJob</f>
        <v>30</v>
      </c>
      <c r="D86" s="58" t="n">
        <f aca="false">D85*JointHoursPerJob</f>
        <v>0</v>
      </c>
      <c r="E86" s="58" t="n">
        <f aca="false">C86-D86</f>
        <v>30</v>
      </c>
    </row>
    <row r="87" customFormat="false" ht="15" hidden="false" customHeight="false" outlineLevel="0" collapsed="false">
      <c r="A87" s="11" t="s">
        <v>486</v>
      </c>
      <c r="B87" s="41" t="s">
        <v>67</v>
      </c>
      <c r="C87" s="59" t="n">
        <f aca="false">C86*JointTechRate</f>
        <v>1050</v>
      </c>
      <c r="D87" s="59" t="n">
        <f aca="false">D86*JointTechRate</f>
        <v>0</v>
      </c>
      <c r="E87" s="59" t="n">
        <f aca="false">C87-D87</f>
        <v>1050</v>
      </c>
    </row>
    <row r="88" customFormat="false" ht="15" hidden="false" customHeight="false" outlineLevel="0" collapsed="false">
      <c r="A88" s="11" t="s">
        <v>487</v>
      </c>
      <c r="B88" s="41" t="s">
        <v>67</v>
      </c>
      <c r="C88" s="59" t="n">
        <f aca="false">C85*JointGrease</f>
        <v>900</v>
      </c>
      <c r="D88" s="59" t="n">
        <f aca="false">D85*JointGrease</f>
        <v>0</v>
      </c>
      <c r="E88" s="59" t="n">
        <f aca="false">C88-D88</f>
        <v>900</v>
      </c>
    </row>
    <row r="89" customFormat="false" ht="15" hidden="false" customHeight="false" outlineLevel="0" collapsed="false">
      <c r="A89" s="11" t="s">
        <v>488</v>
      </c>
      <c r="B89" s="41" t="s">
        <v>67</v>
      </c>
      <c r="C89" s="59" t="n">
        <f aca="false">C86*JointIdleRate</f>
        <v>3600</v>
      </c>
      <c r="D89" s="59" t="n">
        <f aca="false">D86*JointIdleRate</f>
        <v>0</v>
      </c>
      <c r="E89" s="59" t="n">
        <f aca="false">C89-D89</f>
        <v>3600</v>
      </c>
    </row>
    <row r="90" customFormat="false" ht="15" hidden="false" customHeight="false" outlineLevel="0" collapsed="false">
      <c r="A90" s="35" t="s">
        <v>489</v>
      </c>
      <c r="B90" s="53" t="s">
        <v>67</v>
      </c>
      <c r="C90" s="60" t="n">
        <f aca="false">SUM(C87:C89)</f>
        <v>5550</v>
      </c>
      <c r="D90" s="60" t="n">
        <f aca="false">SUM(D87:D89)</f>
        <v>0</v>
      </c>
      <c r="E90" s="60" t="n">
        <f aca="false">C90-D90</f>
        <v>5550</v>
      </c>
    </row>
    <row r="92" customFormat="false" ht="15" hidden="false" customHeight="false" outlineLevel="0" collapsed="false">
      <c r="A92" s="57" t="s">
        <v>490</v>
      </c>
      <c r="B92" s="4"/>
      <c r="C92" s="4"/>
      <c r="D92" s="4"/>
      <c r="E92" s="4"/>
      <c r="F92" s="4"/>
      <c r="G92" s="4"/>
      <c r="H92" s="4"/>
      <c r="I92" s="4"/>
      <c r="J92" s="4"/>
      <c r="K92" s="4"/>
      <c r="L92" s="4"/>
      <c r="M92" s="4"/>
      <c r="N92" s="4"/>
    </row>
    <row r="93" customFormat="false" ht="15" hidden="false" customHeight="false" outlineLevel="0" collapsed="false">
      <c r="A93" s="61" t="s">
        <v>491</v>
      </c>
    </row>
    <row r="94" customFormat="false" ht="30" hidden="false" customHeight="true" outlineLevel="0" collapsed="false">
      <c r="A94" s="9" t="s">
        <v>492</v>
      </c>
      <c r="B94" s="10"/>
      <c r="C94" s="10" t="s">
        <v>493</v>
      </c>
      <c r="D94" s="10" t="s">
        <v>494</v>
      </c>
      <c r="E94" s="10" t="s">
        <v>93</v>
      </c>
      <c r="F94" s="10" t="s">
        <v>495</v>
      </c>
    </row>
    <row r="95" customFormat="false" ht="15" hidden="false" customHeight="false" outlineLevel="0" collapsed="false">
      <c r="A95" s="11" t="s">
        <v>496</v>
      </c>
      <c r="B95" s="11"/>
      <c r="C95" s="62" t="s">
        <v>212</v>
      </c>
      <c r="D95" s="62" t="s">
        <v>497</v>
      </c>
      <c r="E95" s="62" t="s">
        <v>497</v>
      </c>
      <c r="F95" s="62" t="s">
        <v>498</v>
      </c>
    </row>
    <row r="96" customFormat="false" ht="15" hidden="false" customHeight="false" outlineLevel="0" collapsed="false">
      <c r="A96" s="11" t="s">
        <v>499</v>
      </c>
      <c r="B96" s="11"/>
      <c r="C96" s="62" t="s">
        <v>500</v>
      </c>
      <c r="D96" s="62" t="s">
        <v>501</v>
      </c>
      <c r="E96" s="62" t="s">
        <v>502</v>
      </c>
      <c r="F96" s="62" t="s">
        <v>503</v>
      </c>
    </row>
    <row r="97" customFormat="false" ht="15" hidden="false" customHeight="false" outlineLevel="0" collapsed="false">
      <c r="A97" s="11" t="s">
        <v>504</v>
      </c>
      <c r="B97" s="11"/>
      <c r="C97" s="62" t="s">
        <v>505</v>
      </c>
      <c r="D97" s="62" t="s">
        <v>506</v>
      </c>
      <c r="E97" s="62" t="s">
        <v>507</v>
      </c>
      <c r="F97" s="62" t="s">
        <v>508</v>
      </c>
    </row>
    <row r="98" customFormat="false" ht="15" hidden="false" customHeight="false" outlineLevel="0" collapsed="false">
      <c r="A98" s="11" t="s">
        <v>509</v>
      </c>
      <c r="B98" s="11"/>
      <c r="C98" s="62" t="s">
        <v>510</v>
      </c>
      <c r="D98" s="62" t="s">
        <v>511</v>
      </c>
      <c r="E98" s="62" t="s">
        <v>512</v>
      </c>
      <c r="F98" s="62" t="s">
        <v>513</v>
      </c>
    </row>
    <row r="99" customFormat="false" ht="15" hidden="false" customHeight="false" outlineLevel="0" collapsed="false">
      <c r="A99" s="11" t="s">
        <v>514</v>
      </c>
      <c r="B99" s="11"/>
      <c r="C99" s="62" t="s">
        <v>515</v>
      </c>
      <c r="D99" s="62" t="s">
        <v>516</v>
      </c>
      <c r="E99" s="62" t="s">
        <v>517</v>
      </c>
      <c r="F99" s="62" t="s">
        <v>296</v>
      </c>
    </row>
    <row r="101" customFormat="false" ht="15" hidden="false" customHeight="false" outlineLevel="0" collapsed="false">
      <c r="A101" s="61" t="s">
        <v>518</v>
      </c>
    </row>
    <row r="102" customFormat="false" ht="30" hidden="false" customHeight="true" outlineLevel="0" collapsed="false">
      <c r="A102" s="9" t="s">
        <v>492</v>
      </c>
      <c r="B102" s="10"/>
      <c r="C102" s="10" t="s">
        <v>493</v>
      </c>
      <c r="D102" s="10" t="s">
        <v>494</v>
      </c>
      <c r="E102" s="10" t="s">
        <v>93</v>
      </c>
      <c r="F102" s="10" t="s">
        <v>495</v>
      </c>
    </row>
    <row r="103" customFormat="false" ht="15" hidden="false" customHeight="false" outlineLevel="0" collapsed="false">
      <c r="A103" s="11" t="s">
        <v>496</v>
      </c>
      <c r="B103" s="11"/>
      <c r="C103" s="62" t="s">
        <v>212</v>
      </c>
      <c r="D103" s="62" t="s">
        <v>519</v>
      </c>
      <c r="E103" s="62" t="s">
        <v>520</v>
      </c>
      <c r="F103" s="62" t="s">
        <v>521</v>
      </c>
    </row>
    <row r="104" customFormat="false" ht="15" hidden="false" customHeight="false" outlineLevel="0" collapsed="false">
      <c r="A104" s="11" t="s">
        <v>499</v>
      </c>
      <c r="B104" s="11"/>
      <c r="C104" s="62" t="s">
        <v>522</v>
      </c>
      <c r="D104" s="62" t="s">
        <v>523</v>
      </c>
      <c r="E104" s="62" t="s">
        <v>524</v>
      </c>
      <c r="F104" s="62" t="s">
        <v>521</v>
      </c>
    </row>
    <row r="105" customFormat="false" ht="15" hidden="false" customHeight="false" outlineLevel="0" collapsed="false">
      <c r="A105" s="11" t="s">
        <v>504</v>
      </c>
      <c r="B105" s="11"/>
      <c r="C105" s="62" t="s">
        <v>525</v>
      </c>
      <c r="D105" s="62" t="s">
        <v>525</v>
      </c>
      <c r="E105" s="62" t="s">
        <v>526</v>
      </c>
      <c r="F105" s="62" t="s">
        <v>520</v>
      </c>
    </row>
    <row r="106" customFormat="false" ht="15" hidden="false" customHeight="false" outlineLevel="0" collapsed="false">
      <c r="A106" s="11" t="s">
        <v>509</v>
      </c>
      <c r="B106" s="11"/>
      <c r="C106" s="62" t="s">
        <v>527</v>
      </c>
      <c r="D106" s="62" t="s">
        <v>527</v>
      </c>
      <c r="E106" s="62" t="s">
        <v>525</v>
      </c>
      <c r="F106" s="62" t="s">
        <v>519</v>
      </c>
    </row>
    <row r="107" customFormat="false" ht="15" hidden="false" customHeight="false" outlineLevel="0" collapsed="false">
      <c r="A107" s="11" t="s">
        <v>514</v>
      </c>
      <c r="B107" s="11"/>
      <c r="C107" s="62" t="s">
        <v>528</v>
      </c>
      <c r="D107" s="62" t="s">
        <v>529</v>
      </c>
      <c r="E107" s="62" t="s">
        <v>530</v>
      </c>
      <c r="F107" s="62" t="s">
        <v>522</v>
      </c>
    </row>
    <row r="109" customFormat="false" ht="15" hidden="false" customHeight="false" outlineLevel="0" collapsed="false">
      <c r="A109" s="61" t="s">
        <v>531</v>
      </c>
    </row>
    <row r="110" customFormat="false" ht="30" hidden="false" customHeight="true" outlineLevel="0" collapsed="false">
      <c r="A110" s="9" t="s">
        <v>492</v>
      </c>
      <c r="B110" s="10"/>
      <c r="C110" s="10" t="s">
        <v>493</v>
      </c>
      <c r="D110" s="10" t="s">
        <v>494</v>
      </c>
      <c r="E110" s="10" t="s">
        <v>93</v>
      </c>
      <c r="F110" s="10" t="s">
        <v>495</v>
      </c>
    </row>
    <row r="111" customFormat="false" ht="15" hidden="false" customHeight="false" outlineLevel="0" collapsed="false">
      <c r="A111" s="11" t="s">
        <v>532</v>
      </c>
      <c r="B111" s="11"/>
      <c r="C111" s="62" t="s">
        <v>533</v>
      </c>
      <c r="D111" s="62" t="s">
        <v>534</v>
      </c>
      <c r="E111" s="62" t="s">
        <v>535</v>
      </c>
      <c r="F111" s="62" t="s">
        <v>536</v>
      </c>
    </row>
    <row r="112" customFormat="false" ht="15" hidden="false" customHeight="false" outlineLevel="0" collapsed="false">
      <c r="A112" s="11" t="s">
        <v>537</v>
      </c>
      <c r="B112" s="11"/>
      <c r="C112" s="62" t="s">
        <v>535</v>
      </c>
      <c r="D112" s="62" t="s">
        <v>503</v>
      </c>
      <c r="E112" s="62" t="s">
        <v>538</v>
      </c>
      <c r="F112" s="62" t="s">
        <v>539</v>
      </c>
    </row>
    <row r="113" customFormat="false" ht="15" hidden="false" customHeight="false" outlineLevel="0" collapsed="false">
      <c r="A113" s="11" t="s">
        <v>540</v>
      </c>
      <c r="B113" s="11"/>
      <c r="C113" s="62" t="s">
        <v>541</v>
      </c>
      <c r="D113" s="62" t="s">
        <v>542</v>
      </c>
      <c r="E113" s="62" t="s">
        <v>543</v>
      </c>
      <c r="F113" s="62" t="s">
        <v>544</v>
      </c>
    </row>
    <row r="114" customFormat="false" ht="15" hidden="false" customHeight="false" outlineLevel="0" collapsed="false">
      <c r="A114" s="11" t="s">
        <v>545</v>
      </c>
      <c r="B114" s="11"/>
      <c r="C114" s="62" t="s">
        <v>546</v>
      </c>
      <c r="D114" s="62" t="s">
        <v>500</v>
      </c>
      <c r="E114" s="62" t="s">
        <v>547</v>
      </c>
      <c r="F114" s="62" t="s">
        <v>548</v>
      </c>
    </row>
    <row r="115" customFormat="false" ht="15" hidden="false" customHeight="false" outlineLevel="0" collapsed="false">
      <c r="A115" s="11" t="s">
        <v>496</v>
      </c>
      <c r="B115" s="11"/>
      <c r="C115" s="62" t="s">
        <v>212</v>
      </c>
      <c r="D115" s="62" t="s">
        <v>497</v>
      </c>
      <c r="E115" s="62" t="s">
        <v>497</v>
      </c>
      <c r="F115" s="62" t="s">
        <v>498</v>
      </c>
    </row>
    <row r="116" customFormat="false" ht="15" hidden="false" customHeight="false" outlineLevel="0" collapsed="false">
      <c r="A116" s="11" t="s">
        <v>499</v>
      </c>
      <c r="B116" s="11"/>
      <c r="C116" s="62" t="s">
        <v>500</v>
      </c>
      <c r="D116" s="62" t="s">
        <v>501</v>
      </c>
      <c r="E116" s="62" t="s">
        <v>502</v>
      </c>
      <c r="F116" s="62" t="s">
        <v>503</v>
      </c>
    </row>
    <row r="117" customFormat="false" ht="15" hidden="false" customHeight="false" outlineLevel="0" collapsed="false">
      <c r="A117" s="11" t="s">
        <v>504</v>
      </c>
      <c r="B117" s="11"/>
      <c r="C117" s="62" t="s">
        <v>505</v>
      </c>
      <c r="D117" s="62" t="s">
        <v>506</v>
      </c>
      <c r="E117" s="62" t="s">
        <v>507</v>
      </c>
      <c r="F117" s="62" t="s">
        <v>508</v>
      </c>
    </row>
    <row r="118" customFormat="false" ht="15" hidden="false" customHeight="false" outlineLevel="0" collapsed="false">
      <c r="A118" s="11" t="s">
        <v>509</v>
      </c>
      <c r="B118" s="11"/>
      <c r="C118" s="62" t="s">
        <v>510</v>
      </c>
      <c r="D118" s="62" t="s">
        <v>511</v>
      </c>
      <c r="E118" s="62" t="s">
        <v>512</v>
      </c>
      <c r="F118" s="62" t="s">
        <v>513</v>
      </c>
    </row>
    <row r="119" customFormat="false" ht="15" hidden="false" customHeight="false" outlineLevel="0" collapsed="false">
      <c r="A119" s="11" t="s">
        <v>514</v>
      </c>
      <c r="B119" s="11"/>
      <c r="C119" s="62" t="s">
        <v>515</v>
      </c>
      <c r="D119" s="62" t="s">
        <v>516</v>
      </c>
      <c r="E119" s="62" t="s">
        <v>517</v>
      </c>
      <c r="F119" s="62" t="s">
        <v>296</v>
      </c>
    </row>
    <row r="120" customFormat="false" ht="15" hidden="false" customHeight="false" outlineLevel="0" collapsed="false">
      <c r="A120" s="11" t="s">
        <v>549</v>
      </c>
      <c r="B120" s="11"/>
      <c r="C120" s="62" t="s">
        <v>550</v>
      </c>
      <c r="D120" s="62" t="s">
        <v>551</v>
      </c>
      <c r="E120" s="62" t="s">
        <v>552</v>
      </c>
      <c r="F120" s="62" t="s">
        <v>548</v>
      </c>
    </row>
    <row r="122" customFormat="false" ht="15" hidden="false" customHeight="false" outlineLevel="0" collapsed="false">
      <c r="A122" s="63" t="s">
        <v>553</v>
      </c>
    </row>
  </sheetData>
  <dataValidations count="5">
    <dataValidation allowBlank="false" errorStyle="stop" operator="between" showDropDown="false" showErrorMessage="false" showInputMessage="false" sqref="C39:AX39" type="list">
      <formula1>"YES,NO"</formula1>
      <formula2>0</formula2>
    </dataValidation>
    <dataValidation allowBlank="false" errorStyle="stop" operator="between" showDropDown="false" showErrorMessage="false" showInputMessage="false" sqref="E5" type="list">
      <formula1>"Rock,Gravel,Mixed soil,Clay"</formula1>
      <formula2>0</formula2>
    </dataValidation>
    <dataValidation allowBlank="false" errorStyle="stop" operator="between" showDropDown="false" showErrorMessage="false" showInputMessage="false" sqref="N5" type="list">
      <formula1>IDS_SDR</formula1>
      <formula2>0</formula2>
    </dataValidation>
    <dataValidation allowBlank="false" errorStyle="stop" operator="between" showDropDown="false" showErrorMessage="false" showInputMessage="false" sqref="C40:AX40" type="list">
      <formula1>"YES,NO,-"</formula1>
      <formula2>0</formula2>
    </dataValidation>
    <dataValidation allowBlank="true" errorStyle="stop" operator="between" showDropDown="false" showErrorMessage="false" showInputMessage="false" sqref="C84:D84" type="list">
      <formula1>"YES,NO"</formula1>
      <formula2>0</formula2>
    </dataValidation>
  </dataValidations>
  <printOptions headings="false" gridLines="false" gridLinesSet="true" horizontalCentered="false" verticalCentered="false"/>
  <pageMargins left="0.75" right="0.75" top="1" bottom="1" header="0.511811023622047" footer="0.5"/>
  <pageSetup paperSize="9" scale="100" fitToWidth="6" fitToHeight="0" pageOrder="downThenOver" orientation="landscape" blackAndWhite="false" draft="false" cellComments="none" horizontalDpi="300" verticalDpi="300" copies="1"/>
  <headerFooter differentFirst="false" differentOddEven="false">
    <oddHeader/>
    <oddFooter>&amp;LBOMAG Compare Hub&amp;R&amp;P /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C43"/>
    <pageSetUpPr fitToPage="true"/>
  </sheetPr>
  <dimension ref="A1:I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1"/>
    <col collapsed="false" customWidth="true" hidden="false" outlineLevel="0" max="9" min="3" style="0" width="26"/>
  </cols>
  <sheetData>
    <row r="1" customFormat="false" ht="30" hidden="false" customHeight="true" outlineLevel="0" collapsed="false">
      <c r="A1" s="1" t="s">
        <v>554</v>
      </c>
      <c r="B1" s="2"/>
      <c r="C1" s="2"/>
      <c r="D1" s="2"/>
      <c r="E1" s="2"/>
      <c r="F1" s="2"/>
      <c r="G1" s="2"/>
      <c r="H1" s="2"/>
      <c r="I1" s="2"/>
    </row>
    <row r="2" customFormat="false" ht="18" hidden="false" customHeight="true" outlineLevel="0" collapsed="false">
      <c r="A2" s="3" t="s">
        <v>555</v>
      </c>
      <c r="B2" s="2"/>
      <c r="C2" s="2"/>
      <c r="D2" s="2"/>
      <c r="E2" s="2"/>
      <c r="F2" s="2"/>
      <c r="G2" s="2"/>
      <c r="H2" s="2"/>
      <c r="I2" s="2"/>
    </row>
    <row r="4" customFormat="false" ht="39.75" hidden="false" customHeight="true" outlineLevel="0" collapsed="false">
      <c r="A4" s="21" t="s">
        <v>80</v>
      </c>
      <c r="B4" s="22"/>
      <c r="C4" s="23" t="s">
        <v>81</v>
      </c>
      <c r="D4" s="23" t="s">
        <v>82</v>
      </c>
      <c r="E4" s="23" t="s">
        <v>83</v>
      </c>
      <c r="F4" s="23" t="s">
        <v>84</v>
      </c>
      <c r="G4" s="23" t="s">
        <v>85</v>
      </c>
      <c r="H4" s="23" t="s">
        <v>86</v>
      </c>
      <c r="I4" s="23" t="s">
        <v>23</v>
      </c>
    </row>
    <row r="5" customFormat="false" ht="30" hidden="false" customHeight="true" outlineLevel="0" collapsed="false">
      <c r="A5" s="24" t="s">
        <v>92</v>
      </c>
      <c r="B5" s="11"/>
      <c r="C5" s="25" t="n">
        <f aca="false">DieselPrice</f>
        <v>1.2</v>
      </c>
      <c r="D5" s="26" t="n">
        <f aca="false">OperatingHours</f>
        <v>3000</v>
      </c>
      <c r="E5" s="27" t="s">
        <v>93</v>
      </c>
      <c r="F5" s="28" t="n">
        <v>1</v>
      </c>
      <c r="G5" s="29" t="n">
        <v>0</v>
      </c>
      <c r="H5" s="30" t="n">
        <v>1.25</v>
      </c>
      <c r="I5" s="27" t="s">
        <v>556</v>
      </c>
    </row>
    <row r="7" customFormat="false" ht="15" hidden="false" customHeight="false" outlineLevel="0" collapsed="false">
      <c r="A7" s="33" t="s">
        <v>95</v>
      </c>
      <c r="B7" s="11"/>
      <c r="C7" s="34" t="s">
        <v>556</v>
      </c>
      <c r="D7" s="34" t="s">
        <v>557</v>
      </c>
      <c r="E7" s="34" t="s">
        <v>558</v>
      </c>
      <c r="F7" s="34" t="s">
        <v>559</v>
      </c>
      <c r="G7" s="34" t="s">
        <v>560</v>
      </c>
      <c r="H7" s="34" t="s">
        <v>561</v>
      </c>
      <c r="I7" s="34" t="s">
        <v>562</v>
      </c>
    </row>
    <row r="8" customFormat="false" ht="15" hidden="false" customHeight="false" outlineLevel="0" collapsed="false">
      <c r="A8" s="35" t="s">
        <v>143</v>
      </c>
      <c r="B8" s="36"/>
      <c r="C8" s="37" t="s">
        <v>144</v>
      </c>
      <c r="D8" s="38" t="s">
        <v>149</v>
      </c>
      <c r="E8" s="38" t="s">
        <v>148</v>
      </c>
      <c r="F8" s="38" t="s">
        <v>146</v>
      </c>
      <c r="G8" s="38" t="s">
        <v>155</v>
      </c>
      <c r="H8" s="38" t="s">
        <v>153</v>
      </c>
      <c r="I8" s="38" t="s">
        <v>563</v>
      </c>
    </row>
    <row r="9" customFormat="false" ht="27.75" hidden="false" customHeight="true" outlineLevel="0" collapsed="false">
      <c r="A9" s="35" t="s">
        <v>158</v>
      </c>
      <c r="B9" s="39" t="s">
        <v>55</v>
      </c>
      <c r="C9" s="10" t="s">
        <v>564</v>
      </c>
      <c r="D9" s="40" t="s">
        <v>565</v>
      </c>
      <c r="E9" s="40" t="s">
        <v>566</v>
      </c>
      <c r="F9" s="40" t="s">
        <v>567</v>
      </c>
      <c r="G9" s="40" t="s">
        <v>568</v>
      </c>
      <c r="H9" s="40" t="s">
        <v>569</v>
      </c>
      <c r="I9" s="40" t="s">
        <v>570</v>
      </c>
    </row>
    <row r="11" customFormat="false" ht="19.5" hidden="false" customHeight="true" outlineLevel="0" collapsed="false">
      <c r="A11" s="21" t="s">
        <v>204</v>
      </c>
      <c r="B11" s="4"/>
      <c r="C11" s="4"/>
      <c r="D11" s="4"/>
      <c r="E11" s="4"/>
      <c r="F11" s="4"/>
      <c r="G11" s="4"/>
      <c r="H11" s="4"/>
      <c r="I11" s="4"/>
    </row>
    <row r="12" customFormat="false" ht="18.75" hidden="false" customHeight="true" outlineLevel="0" collapsed="false">
      <c r="A12" s="14" t="s">
        <v>213</v>
      </c>
      <c r="B12" s="41"/>
      <c r="C12" s="43" t="n">
        <v>2700</v>
      </c>
      <c r="D12" s="43" t="n">
        <v>2698</v>
      </c>
      <c r="E12" s="43" t="n">
        <v>2695</v>
      </c>
      <c r="F12" s="43" t="n">
        <v>2600</v>
      </c>
      <c r="G12" s="43" t="n">
        <v>2460</v>
      </c>
      <c r="H12" s="43" t="n">
        <v>2740</v>
      </c>
      <c r="I12" s="43" t="n">
        <v>2695</v>
      </c>
    </row>
    <row r="13" customFormat="false" ht="18.75" hidden="false" customHeight="true" outlineLevel="0" collapsed="false">
      <c r="A13" s="14" t="s">
        <v>214</v>
      </c>
      <c r="B13" s="41"/>
      <c r="C13" s="42" t="s">
        <v>571</v>
      </c>
      <c r="D13" s="42" t="s">
        <v>572</v>
      </c>
      <c r="E13" s="42" t="s">
        <v>573</v>
      </c>
      <c r="F13" s="42" t="s">
        <v>574</v>
      </c>
      <c r="G13" s="42" t="s">
        <v>575</v>
      </c>
      <c r="H13" s="42" t="s">
        <v>574</v>
      </c>
      <c r="I13" s="42" t="s">
        <v>576</v>
      </c>
    </row>
    <row r="14" customFormat="false" ht="18.75" hidden="false" customHeight="true" outlineLevel="0" collapsed="false">
      <c r="A14" s="14" t="s">
        <v>249</v>
      </c>
      <c r="B14" s="41"/>
      <c r="C14" s="42" t="n">
        <v>1.2</v>
      </c>
      <c r="D14" s="42" t="n">
        <v>1.3</v>
      </c>
      <c r="E14" s="42" t="n">
        <v>1.25</v>
      </c>
      <c r="F14" s="42" t="n">
        <v>1.2</v>
      </c>
      <c r="G14" s="42" t="n">
        <v>1.2</v>
      </c>
      <c r="H14" s="42" t="n">
        <v>1.2</v>
      </c>
      <c r="I14" s="42" t="n">
        <v>1.2</v>
      </c>
    </row>
    <row r="15" customFormat="false" ht="18.75" hidden="false" customHeight="true" outlineLevel="0" collapsed="false">
      <c r="A15" s="14" t="s">
        <v>250</v>
      </c>
      <c r="B15" s="41"/>
      <c r="C15" s="42" t="n">
        <v>32.6</v>
      </c>
      <c r="D15" s="42" t="n">
        <v>24.6</v>
      </c>
      <c r="E15" s="42" t="n">
        <v>30.7</v>
      </c>
      <c r="F15" s="42" t="n">
        <v>35</v>
      </c>
      <c r="G15" s="42" t="n">
        <v>27.3</v>
      </c>
      <c r="H15" s="42" t="n">
        <v>24.4</v>
      </c>
      <c r="I15" s="42" t="n">
        <v>30.7</v>
      </c>
    </row>
    <row r="16" customFormat="false" ht="18.75" hidden="false" customHeight="true" outlineLevel="0" collapsed="false">
      <c r="A16" s="14" t="s">
        <v>251</v>
      </c>
      <c r="B16" s="41"/>
      <c r="C16" s="42" t="s">
        <v>577</v>
      </c>
      <c r="D16" s="42" t="s">
        <v>578</v>
      </c>
      <c r="E16" s="42" t="s">
        <v>578</v>
      </c>
      <c r="F16" s="42" t="s">
        <v>579</v>
      </c>
      <c r="G16" s="42" t="s">
        <v>580</v>
      </c>
      <c r="H16" s="42" t="s">
        <v>581</v>
      </c>
      <c r="I16" s="42" t="s">
        <v>581</v>
      </c>
    </row>
    <row r="17" customFormat="false" ht="18.75" hidden="false" customHeight="true" outlineLevel="0" collapsed="false">
      <c r="A17" s="14" t="s">
        <v>281</v>
      </c>
      <c r="B17" s="41"/>
      <c r="C17" s="42" t="n">
        <v>11.3</v>
      </c>
      <c r="D17" s="42" t="n">
        <v>13.7</v>
      </c>
      <c r="E17" s="42" t="n">
        <v>11.2</v>
      </c>
      <c r="F17" s="42" t="n">
        <v>10.5</v>
      </c>
      <c r="G17" s="42" t="n">
        <v>10.3</v>
      </c>
      <c r="H17" s="42" t="n">
        <v>10.5</v>
      </c>
      <c r="I17" s="42" t="n">
        <v>10.5</v>
      </c>
    </row>
    <row r="18" customFormat="false" ht="18.75" hidden="false" customHeight="true" outlineLevel="0" collapsed="false">
      <c r="A18" s="14" t="s">
        <v>283</v>
      </c>
      <c r="B18" s="41"/>
      <c r="C18" s="42" t="s">
        <v>582</v>
      </c>
      <c r="D18" s="42" t="s">
        <v>285</v>
      </c>
      <c r="E18" s="42" t="s">
        <v>583</v>
      </c>
      <c r="F18" s="42" t="s">
        <v>288</v>
      </c>
      <c r="G18" s="42" t="s">
        <v>584</v>
      </c>
      <c r="H18" s="42" t="s">
        <v>284</v>
      </c>
      <c r="I18" s="42" t="s">
        <v>287</v>
      </c>
    </row>
    <row r="19" customFormat="false" ht="18.75" hidden="false" customHeight="true" outlineLevel="0" collapsed="false">
      <c r="A19" s="14" t="s">
        <v>585</v>
      </c>
      <c r="B19" s="41"/>
      <c r="C19" s="42" t="s">
        <v>586</v>
      </c>
      <c r="D19" s="42" t="s">
        <v>586</v>
      </c>
      <c r="E19" s="42" t="s">
        <v>586</v>
      </c>
      <c r="F19" s="42" t="s">
        <v>586</v>
      </c>
      <c r="G19" s="42" t="s">
        <v>586</v>
      </c>
      <c r="H19" s="42" t="s">
        <v>586</v>
      </c>
      <c r="I19" s="42" t="s">
        <v>586</v>
      </c>
    </row>
    <row r="20" customFormat="false" ht="18.75" hidden="false" customHeight="true" outlineLevel="0" collapsed="false">
      <c r="A20" s="14" t="s">
        <v>587</v>
      </c>
      <c r="B20" s="41"/>
      <c r="C20" s="42" t="n">
        <v>205</v>
      </c>
      <c r="D20" s="42" t="n">
        <v>200</v>
      </c>
      <c r="E20" s="42" t="n">
        <v>180</v>
      </c>
      <c r="F20" s="42" t="n">
        <v>159</v>
      </c>
      <c r="G20" s="42" t="n">
        <v>110</v>
      </c>
      <c r="H20" s="42" t="n">
        <v>197</v>
      </c>
      <c r="I20" s="42" t="n">
        <v>197</v>
      </c>
    </row>
    <row r="21" customFormat="false" ht="45" hidden="false" customHeight="true" outlineLevel="0" collapsed="false">
      <c r="A21" s="14" t="s">
        <v>300</v>
      </c>
      <c r="B21" s="41"/>
      <c r="C21" s="14" t="s">
        <v>588</v>
      </c>
      <c r="D21" s="42" t="s">
        <v>589</v>
      </c>
      <c r="E21" s="14" t="s">
        <v>590</v>
      </c>
      <c r="F21" s="14" t="s">
        <v>591</v>
      </c>
      <c r="G21" s="14" t="s">
        <v>592</v>
      </c>
      <c r="H21" s="42" t="s">
        <v>593</v>
      </c>
      <c r="I21" s="42" t="s">
        <v>593</v>
      </c>
    </row>
    <row r="22" customFormat="false" ht="84.75" hidden="false" customHeight="true" outlineLevel="0" collapsed="false">
      <c r="A22" s="14" t="s">
        <v>315</v>
      </c>
      <c r="B22" s="41"/>
      <c r="C22" s="14" t="s">
        <v>594</v>
      </c>
      <c r="D22" s="14" t="s">
        <v>595</v>
      </c>
      <c r="E22" s="14" t="s">
        <v>596</v>
      </c>
      <c r="F22" s="14" t="s">
        <v>597</v>
      </c>
      <c r="G22" s="14" t="s">
        <v>598</v>
      </c>
      <c r="H22" s="14" t="s">
        <v>599</v>
      </c>
      <c r="I22" s="14" t="s">
        <v>599</v>
      </c>
    </row>
    <row r="23" customFormat="false" ht="19.5" hidden="false" customHeight="true" outlineLevel="0" collapsed="false">
      <c r="A23" s="21" t="s">
        <v>326</v>
      </c>
      <c r="B23" s="4"/>
      <c r="C23" s="4"/>
      <c r="D23" s="4"/>
      <c r="E23" s="4"/>
      <c r="F23" s="4"/>
      <c r="G23" s="4"/>
      <c r="H23" s="4"/>
      <c r="I23" s="4"/>
    </row>
    <row r="24" customFormat="false" ht="84.75" hidden="false" customHeight="true" outlineLevel="0" collapsed="false">
      <c r="A24" s="14" t="s">
        <v>600</v>
      </c>
      <c r="B24" s="41"/>
      <c r="C24" s="14" t="s">
        <v>601</v>
      </c>
      <c r="D24" s="14" t="s">
        <v>595</v>
      </c>
      <c r="E24" s="14" t="s">
        <v>596</v>
      </c>
      <c r="F24" s="14" t="s">
        <v>597</v>
      </c>
      <c r="G24" s="14" t="s">
        <v>598</v>
      </c>
      <c r="H24" s="14" t="s">
        <v>599</v>
      </c>
      <c r="I24" s="14" t="s">
        <v>599</v>
      </c>
    </row>
    <row r="25" customFormat="false" ht="32.25" hidden="false" customHeight="true" outlineLevel="0" collapsed="false">
      <c r="A25" s="14" t="s">
        <v>602</v>
      </c>
      <c r="B25" s="41"/>
      <c r="C25" s="42" t="s">
        <v>603</v>
      </c>
      <c r="D25" s="42" t="s">
        <v>603</v>
      </c>
      <c r="E25" s="42" t="s">
        <v>603</v>
      </c>
      <c r="F25" s="42" t="s">
        <v>603</v>
      </c>
      <c r="G25" s="42" t="s">
        <v>603</v>
      </c>
      <c r="H25" s="42" t="s">
        <v>603</v>
      </c>
      <c r="I25" s="42" t="s">
        <v>603</v>
      </c>
    </row>
    <row r="26" customFormat="false" ht="18.75" hidden="false" customHeight="true" outlineLevel="0" collapsed="false">
      <c r="A26" s="14" t="s">
        <v>604</v>
      </c>
      <c r="B26" s="41"/>
      <c r="C26" s="42" t="s">
        <v>604</v>
      </c>
      <c r="D26" s="42" t="s">
        <v>604</v>
      </c>
      <c r="E26" s="42" t="s">
        <v>604</v>
      </c>
      <c r="F26" s="42" t="s">
        <v>604</v>
      </c>
      <c r="G26" s="42" t="s">
        <v>604</v>
      </c>
      <c r="H26" s="42" t="s">
        <v>604</v>
      </c>
      <c r="I26" s="42" t="s">
        <v>604</v>
      </c>
    </row>
    <row r="27" customFormat="false" ht="18.75" hidden="false" customHeight="true" outlineLevel="0" collapsed="false">
      <c r="A27" s="14" t="s">
        <v>605</v>
      </c>
      <c r="B27" s="41"/>
      <c r="C27" s="42" t="s">
        <v>605</v>
      </c>
      <c r="D27" s="42" t="s">
        <v>605</v>
      </c>
      <c r="E27" s="42" t="s">
        <v>605</v>
      </c>
      <c r="F27" s="42" t="s">
        <v>605</v>
      </c>
      <c r="G27" s="42" t="s">
        <v>605</v>
      </c>
      <c r="H27" s="42" t="s">
        <v>605</v>
      </c>
      <c r="I27" s="42" t="s">
        <v>605</v>
      </c>
    </row>
    <row r="28" customFormat="false" ht="18.75" hidden="false" customHeight="true" outlineLevel="0" collapsed="false">
      <c r="A28" s="14" t="s">
        <v>606</v>
      </c>
      <c r="B28" s="41"/>
      <c r="C28" s="42" t="s">
        <v>607</v>
      </c>
      <c r="D28" s="42" t="s">
        <v>607</v>
      </c>
      <c r="E28" s="42" t="s">
        <v>607</v>
      </c>
      <c r="F28" s="42" t="s">
        <v>607</v>
      </c>
      <c r="G28" s="42" t="s">
        <v>607</v>
      </c>
      <c r="H28" s="42" t="s">
        <v>607</v>
      </c>
      <c r="I28" s="42" t="s">
        <v>607</v>
      </c>
    </row>
    <row r="29" customFormat="false" ht="18.75" hidden="false" customHeight="true" outlineLevel="0" collapsed="false">
      <c r="A29" s="14" t="s">
        <v>608</v>
      </c>
      <c r="B29" s="41"/>
      <c r="C29" s="42" t="s">
        <v>608</v>
      </c>
      <c r="D29" s="42" t="s">
        <v>608</v>
      </c>
      <c r="E29" s="42" t="s">
        <v>608</v>
      </c>
      <c r="F29" s="42" t="s">
        <v>608</v>
      </c>
      <c r="G29" s="42" t="s">
        <v>608</v>
      </c>
      <c r="H29" s="42" t="s">
        <v>608</v>
      </c>
      <c r="I29" s="42" t="s">
        <v>608</v>
      </c>
    </row>
    <row r="30" customFormat="false" ht="19.5" hidden="false" customHeight="true" outlineLevel="0" collapsed="false">
      <c r="A30" s="21" t="s">
        <v>432</v>
      </c>
      <c r="B30" s="4"/>
      <c r="C30" s="4"/>
      <c r="D30" s="4"/>
      <c r="E30" s="4"/>
      <c r="F30" s="4"/>
      <c r="G30" s="4"/>
      <c r="H30" s="4"/>
      <c r="I30" s="4"/>
    </row>
    <row r="31" customFormat="false" ht="18.75" hidden="false" customHeight="true" outlineLevel="0" collapsed="false">
      <c r="A31" s="14" t="s">
        <v>433</v>
      </c>
      <c r="B31" s="41" t="s">
        <v>67</v>
      </c>
      <c r="C31" s="44" t="n">
        <v>28000</v>
      </c>
      <c r="D31" s="44" t="n">
        <v>29630</v>
      </c>
      <c r="E31" s="44" t="n">
        <v>29580</v>
      </c>
      <c r="F31" s="44" t="n">
        <v>26783</v>
      </c>
      <c r="G31" s="44" t="n">
        <v>25500</v>
      </c>
      <c r="H31" s="44" t="n">
        <v>23500</v>
      </c>
      <c r="I31" s="44" t="n">
        <v>23500</v>
      </c>
    </row>
    <row r="32" customFormat="false" ht="18.75" hidden="false" customHeight="true" outlineLevel="0" collapsed="false">
      <c r="A32" s="14" t="s">
        <v>434</v>
      </c>
      <c r="B32" s="41" t="s">
        <v>435</v>
      </c>
      <c r="C32" s="45" t="n">
        <v>2.6</v>
      </c>
      <c r="D32" s="45" t="n">
        <v>2.3</v>
      </c>
      <c r="E32" s="45" t="n">
        <v>2.8</v>
      </c>
      <c r="F32" s="45" t="n">
        <v>2.7</v>
      </c>
      <c r="G32" s="45" t="n">
        <v>3.2</v>
      </c>
      <c r="H32" s="45" t="n">
        <v>2.7</v>
      </c>
      <c r="I32" s="45" t="n">
        <v>2.7</v>
      </c>
    </row>
    <row r="33" customFormat="false" ht="18.75" hidden="false" customHeight="true" outlineLevel="0" collapsed="false">
      <c r="A33" s="14" t="s">
        <v>436</v>
      </c>
      <c r="B33" s="41" t="s">
        <v>437</v>
      </c>
      <c r="C33" s="46" t="n">
        <v>1</v>
      </c>
      <c r="D33" s="46" t="n">
        <v>1</v>
      </c>
      <c r="E33" s="46" t="n">
        <v>1.5</v>
      </c>
      <c r="F33" s="46" t="n">
        <v>1</v>
      </c>
      <c r="G33" s="46" t="n">
        <v>1</v>
      </c>
      <c r="H33" s="46" t="n">
        <v>1.5</v>
      </c>
      <c r="I33" s="46" t="n">
        <v>1.5</v>
      </c>
    </row>
    <row r="34" customFormat="false" ht="18.75" hidden="false" customHeight="true" outlineLevel="0" collapsed="false">
      <c r="A34" s="14" t="s">
        <v>438</v>
      </c>
      <c r="B34" s="41" t="s">
        <v>437</v>
      </c>
      <c r="C34" s="46" t="n">
        <v>1.3</v>
      </c>
      <c r="D34" s="46" t="n">
        <v>2</v>
      </c>
      <c r="E34" s="46" t="n">
        <v>1</v>
      </c>
      <c r="F34" s="46" t="n">
        <v>1.4</v>
      </c>
      <c r="G34" s="46" t="n">
        <v>1.3</v>
      </c>
      <c r="H34" s="46" t="n">
        <v>2</v>
      </c>
      <c r="I34" s="46" t="n">
        <v>2</v>
      </c>
    </row>
    <row r="35" customFormat="false" ht="18.75" hidden="false" customHeight="true" outlineLevel="0" collapsed="false">
      <c r="A35" s="14" t="s">
        <v>439</v>
      </c>
      <c r="B35" s="41" t="s">
        <v>67</v>
      </c>
      <c r="C35" s="44" t="n">
        <v>0</v>
      </c>
      <c r="D35" s="44" t="n">
        <v>0</v>
      </c>
      <c r="E35" s="44" t="n">
        <v>0</v>
      </c>
      <c r="F35" s="44" t="n">
        <v>0</v>
      </c>
      <c r="G35" s="44" t="n">
        <v>0</v>
      </c>
      <c r="H35" s="44" t="n">
        <v>0</v>
      </c>
      <c r="I35" s="44" t="n">
        <v>0</v>
      </c>
    </row>
    <row r="36" customFormat="false" ht="32.25" hidden="false" customHeight="true" outlineLevel="0" collapsed="false">
      <c r="A36" s="14" t="s">
        <v>443</v>
      </c>
      <c r="B36" s="41" t="s">
        <v>440</v>
      </c>
      <c r="C36" s="47" t="s">
        <v>442</v>
      </c>
      <c r="D36" s="47" t="s">
        <v>212</v>
      </c>
      <c r="E36" s="47" t="s">
        <v>212</v>
      </c>
      <c r="F36" s="47" t="s">
        <v>212</v>
      </c>
      <c r="G36" s="47" t="s">
        <v>212</v>
      </c>
      <c r="H36" s="47" t="s">
        <v>212</v>
      </c>
      <c r="I36" s="47" t="s">
        <v>212</v>
      </c>
    </row>
    <row r="37" customFormat="false" ht="19.5" hidden="false" customHeight="true" outlineLevel="0" collapsed="false">
      <c r="A37" s="21" t="s">
        <v>444</v>
      </c>
      <c r="B37" s="4"/>
      <c r="C37" s="4"/>
      <c r="D37" s="4"/>
      <c r="E37" s="4"/>
      <c r="F37" s="4"/>
      <c r="G37" s="4"/>
      <c r="H37" s="4"/>
      <c r="I37" s="4"/>
    </row>
    <row r="38" customFormat="false" ht="18.75" hidden="false" customHeight="true" outlineLevel="0" collapsed="false">
      <c r="A38" s="14" t="s">
        <v>445</v>
      </c>
      <c r="B38" s="41" t="s">
        <v>446</v>
      </c>
      <c r="C38" s="48" t="n">
        <v>169</v>
      </c>
      <c r="D38" s="48" t="n">
        <v>169</v>
      </c>
      <c r="E38" s="48" t="n">
        <v>169</v>
      </c>
      <c r="F38" s="48" t="n">
        <v>155</v>
      </c>
      <c r="G38" s="48" t="n">
        <v>136</v>
      </c>
      <c r="H38" s="48" t="n">
        <v>175</v>
      </c>
      <c r="I38" s="48" t="n">
        <v>169</v>
      </c>
    </row>
    <row r="39" customFormat="false" ht="18.75" hidden="false" customHeight="true" outlineLevel="0" collapsed="false">
      <c r="A39" s="14" t="s">
        <v>447</v>
      </c>
      <c r="B39" s="41" t="s">
        <v>446</v>
      </c>
      <c r="C39" s="48" t="n">
        <v>144</v>
      </c>
      <c r="D39" s="48" t="n">
        <v>144</v>
      </c>
      <c r="E39" s="48" t="n">
        <v>143</v>
      </c>
      <c r="F39" s="48" t="n">
        <v>132</v>
      </c>
      <c r="G39" s="48" t="n">
        <v>115</v>
      </c>
      <c r="H39" s="48" t="n">
        <v>149</v>
      </c>
      <c r="I39" s="48" t="n">
        <v>143</v>
      </c>
    </row>
    <row r="40" customFormat="false" ht="18.75" hidden="false" customHeight="true" outlineLevel="0" collapsed="false">
      <c r="A40" s="14" t="s">
        <v>448</v>
      </c>
      <c r="B40" s="41" t="s">
        <v>446</v>
      </c>
      <c r="C40" s="48" t="n">
        <v>144</v>
      </c>
      <c r="D40" s="48" t="n">
        <v>144</v>
      </c>
      <c r="E40" s="48" t="n">
        <v>143</v>
      </c>
      <c r="F40" s="48" t="n">
        <v>132</v>
      </c>
      <c r="G40" s="48" t="n">
        <v>115</v>
      </c>
      <c r="H40" s="48" t="n">
        <v>149</v>
      </c>
      <c r="I40" s="48" t="n">
        <v>143</v>
      </c>
    </row>
    <row r="41" customFormat="false" ht="18.75" hidden="false" customHeight="true" outlineLevel="0" collapsed="false">
      <c r="A41" s="14" t="s">
        <v>449</v>
      </c>
      <c r="B41" s="41" t="s">
        <v>446</v>
      </c>
      <c r="C41" s="48" t="n">
        <v>82</v>
      </c>
      <c r="D41" s="48" t="n">
        <v>82</v>
      </c>
      <c r="E41" s="48" t="n">
        <v>82</v>
      </c>
      <c r="F41" s="48" t="n">
        <v>76</v>
      </c>
      <c r="G41" s="48" t="n">
        <v>68</v>
      </c>
      <c r="H41" s="48" t="n">
        <v>84</v>
      </c>
      <c r="I41" s="48" t="n">
        <v>82</v>
      </c>
    </row>
    <row r="42" customFormat="false" ht="18.75" hidden="false" customHeight="true" outlineLevel="0" collapsed="false">
      <c r="A42" s="14" t="s">
        <v>450</v>
      </c>
      <c r="B42" s="41" t="s">
        <v>446</v>
      </c>
      <c r="C42" s="43" t="n">
        <f aca="false">INDEX(C38:C41,MATCH(LTR_Soil,{"Rock","Gravel","Mixed soil","Clay"},0))</f>
        <v>144</v>
      </c>
      <c r="D42" s="43" t="n">
        <f aca="false">INDEX(D38:D41,MATCH(LTR_Soil,{"Rock","Gravel","Mixed soil","Clay"},0))</f>
        <v>144</v>
      </c>
      <c r="E42" s="43" t="n">
        <f aca="false">INDEX(E38:E41,MATCH(LTR_Soil,{"Rock","Gravel","Mixed soil","Clay"},0))</f>
        <v>143</v>
      </c>
      <c r="F42" s="43" t="n">
        <f aca="false">INDEX(F38:F41,MATCH(LTR_Soil,{"Rock","Gravel","Mixed soil","Clay"},0))</f>
        <v>132</v>
      </c>
      <c r="G42" s="43" t="n">
        <f aca="false">INDEX(G38:G41,MATCH(LTR_Soil,{"Rock","Gravel","Mixed soil","Clay"},0))</f>
        <v>115</v>
      </c>
      <c r="H42" s="43" t="n">
        <f aca="false">INDEX(H38:H41,MATCH(LTR_Soil,{"Rock","Gravel","Mixed soil","Clay"},0))</f>
        <v>149</v>
      </c>
      <c r="I42" s="43" t="n">
        <f aca="false">INDEX(I38:I41,MATCH(LTR_Soil,{"Rock","Gravel","Mixed soil","Clay"},0))</f>
        <v>143</v>
      </c>
    </row>
    <row r="43" customFormat="false" ht="18.75" hidden="false" customHeight="true" outlineLevel="0" collapsed="false">
      <c r="A43" s="14" t="s">
        <v>451</v>
      </c>
      <c r="B43" s="41" t="s">
        <v>446</v>
      </c>
      <c r="C43" s="43" t="n">
        <f aca="false">C42*IF(AND(C8="BOMAG",C36="YES"),LTR_TechFactor,1)</f>
        <v>144</v>
      </c>
      <c r="D43" s="43" t="n">
        <f aca="false">D42*IF(AND(D8="BOMAG",D36="YES"),LTR_TechFactor,1)</f>
        <v>144</v>
      </c>
      <c r="E43" s="43" t="n">
        <f aca="false">E42*IF(AND(E8="BOMAG",E36="YES"),LTR_TechFactor,1)</f>
        <v>143</v>
      </c>
      <c r="F43" s="43" t="n">
        <f aca="false">F42*IF(AND(F8="BOMAG",F36="YES"),LTR_TechFactor,1)</f>
        <v>132</v>
      </c>
      <c r="G43" s="43" t="n">
        <f aca="false">G42*IF(AND(G8="BOMAG",G36="YES"),LTR_TechFactor,1)</f>
        <v>115</v>
      </c>
      <c r="H43" s="43" t="n">
        <f aca="false">H42*IF(AND(H8="BOMAG",H36="YES"),LTR_TechFactor,1)</f>
        <v>149</v>
      </c>
      <c r="I43" s="43" t="n">
        <f aca="false">I42*IF(AND(I8="BOMAG",I36="YES"),LTR_TechFactor,1)</f>
        <v>143</v>
      </c>
    </row>
    <row r="44" customFormat="false" ht="18.75" hidden="false" customHeight="true" outlineLevel="0" collapsed="false">
      <c r="A44" s="14" t="s">
        <v>452</v>
      </c>
      <c r="B44" s="41" t="s">
        <v>446</v>
      </c>
      <c r="C44" s="43" t="n">
        <f aca="false">C43*LTR_Efficiency</f>
        <v>144</v>
      </c>
      <c r="D44" s="43" t="n">
        <f aca="false">D43*LTR_Efficiency</f>
        <v>144</v>
      </c>
      <c r="E44" s="43" t="n">
        <f aca="false">E43*LTR_Efficiency</f>
        <v>143</v>
      </c>
      <c r="F44" s="43" t="n">
        <f aca="false">F43*LTR_Efficiency</f>
        <v>132</v>
      </c>
      <c r="G44" s="43" t="n">
        <f aca="false">G43*LTR_Efficiency</f>
        <v>115</v>
      </c>
      <c r="H44" s="43" t="n">
        <f aca="false">H43*LTR_Efficiency</f>
        <v>149</v>
      </c>
      <c r="I44" s="43" t="n">
        <f aca="false">I43*LTR_Efficiency</f>
        <v>143</v>
      </c>
    </row>
    <row r="45" customFormat="false" ht="18.75" hidden="false" customHeight="true" outlineLevel="0" collapsed="false">
      <c r="A45" s="14" t="s">
        <v>453</v>
      </c>
      <c r="B45" s="41" t="s">
        <v>61</v>
      </c>
      <c r="C45" s="49" t="n">
        <f aca="false">IF(AND(C44&gt;0,LTR_Volume&gt;0),LTR_Volume/C44,0)</f>
        <v>0</v>
      </c>
      <c r="D45" s="49" t="n">
        <f aca="false">IF(AND(D44&gt;0,LTR_Volume&gt;0),LTR_Volume/D44,0)</f>
        <v>0</v>
      </c>
      <c r="E45" s="49" t="n">
        <f aca="false">IF(AND(E44&gt;0,LTR_Volume&gt;0),LTR_Volume/E44,0)</f>
        <v>0</v>
      </c>
      <c r="F45" s="49" t="n">
        <f aca="false">IF(AND(F44&gt;0,LTR_Volume&gt;0),LTR_Volume/F44,0)</f>
        <v>0</v>
      </c>
      <c r="G45" s="49" t="n">
        <f aca="false">IF(AND(G44&gt;0,LTR_Volume&gt;0),LTR_Volume/G44,0)</f>
        <v>0</v>
      </c>
      <c r="H45" s="49" t="n">
        <f aca="false">IF(AND(H44&gt;0,LTR_Volume&gt;0),LTR_Volume/H44,0)</f>
        <v>0</v>
      </c>
      <c r="I45" s="49" t="n">
        <f aca="false">IF(AND(I44&gt;0,LTR_Volume&gt;0),LTR_Volume/I44,0)</f>
        <v>0</v>
      </c>
    </row>
    <row r="46" customFormat="false" ht="18.75" hidden="false" customHeight="true" outlineLevel="0" collapsed="false">
      <c r="A46" s="14" t="s">
        <v>454</v>
      </c>
      <c r="B46" s="41" t="s">
        <v>437</v>
      </c>
      <c r="C46" s="50" t="n">
        <f aca="false">C32*DieselPrice+C33+C34</f>
        <v>5.42</v>
      </c>
      <c r="D46" s="50" t="n">
        <f aca="false">D32*DieselPrice+D33+D34</f>
        <v>5.76</v>
      </c>
      <c r="E46" s="50" t="n">
        <f aca="false">E32*DieselPrice+E33+E34</f>
        <v>5.86</v>
      </c>
      <c r="F46" s="50" t="n">
        <f aca="false">F32*DieselPrice+F33+F34</f>
        <v>5.64</v>
      </c>
      <c r="G46" s="50" t="n">
        <f aca="false">G32*DieselPrice+G33+G34</f>
        <v>6.14</v>
      </c>
      <c r="H46" s="50" t="n">
        <f aca="false">H32*DieselPrice+H33+H34</f>
        <v>6.74</v>
      </c>
      <c r="I46" s="50" t="n">
        <f aca="false">I32*DieselPrice+I33+I34</f>
        <v>6.74</v>
      </c>
    </row>
    <row r="47" customFormat="false" ht="18.75" hidden="false" customHeight="true" outlineLevel="0" collapsed="false">
      <c r="A47" s="14" t="s">
        <v>455</v>
      </c>
      <c r="B47" s="41" t="s">
        <v>67</v>
      </c>
      <c r="C47" s="51" t="n">
        <f aca="false">C45*C46</f>
        <v>0</v>
      </c>
      <c r="D47" s="51" t="n">
        <f aca="false">D45*D46</f>
        <v>0</v>
      </c>
      <c r="E47" s="51" t="n">
        <f aca="false">E45*E46</f>
        <v>0</v>
      </c>
      <c r="F47" s="51" t="n">
        <f aca="false">F45*F46</f>
        <v>0</v>
      </c>
      <c r="G47" s="51" t="n">
        <f aca="false">G45*G46</f>
        <v>0</v>
      </c>
      <c r="H47" s="51" t="n">
        <f aca="false">H45*H46</f>
        <v>0</v>
      </c>
      <c r="I47" s="51" t="n">
        <f aca="false">I45*I46</f>
        <v>0</v>
      </c>
    </row>
    <row r="48" customFormat="false" ht="19.5" hidden="false" customHeight="true" outlineLevel="0" collapsed="false">
      <c r="A48" s="21" t="s">
        <v>456</v>
      </c>
      <c r="B48" s="4"/>
      <c r="C48" s="4"/>
      <c r="D48" s="4"/>
      <c r="E48" s="4"/>
      <c r="F48" s="4"/>
      <c r="G48" s="4"/>
      <c r="H48" s="4"/>
      <c r="I48" s="4"/>
    </row>
    <row r="49" customFormat="false" ht="18.75" hidden="false" customHeight="true" outlineLevel="0" collapsed="false">
      <c r="A49" s="14" t="s">
        <v>457</v>
      </c>
      <c r="B49" s="41" t="s">
        <v>67</v>
      </c>
      <c r="C49" s="51" t="n">
        <f aca="false">C32*OperatingHours*DieselPrice</f>
        <v>9360</v>
      </c>
      <c r="D49" s="51" t="n">
        <f aca="false">D32*OperatingHours*DieselPrice</f>
        <v>8280</v>
      </c>
      <c r="E49" s="51" t="n">
        <f aca="false">E32*OperatingHours*DieselPrice</f>
        <v>10080</v>
      </c>
      <c r="F49" s="51" t="n">
        <f aca="false">F32*OperatingHours*DieselPrice</f>
        <v>9720</v>
      </c>
      <c r="G49" s="51" t="n">
        <f aca="false">G32*OperatingHours*DieselPrice</f>
        <v>11520</v>
      </c>
      <c r="H49" s="51" t="n">
        <f aca="false">H32*OperatingHours*DieselPrice</f>
        <v>9720</v>
      </c>
      <c r="I49" s="51" t="n">
        <f aca="false">I32*OperatingHours*DieselPrice</f>
        <v>9720</v>
      </c>
    </row>
    <row r="50" customFormat="false" ht="18.75" hidden="false" customHeight="true" outlineLevel="0" collapsed="false">
      <c r="A50" s="14" t="s">
        <v>458</v>
      </c>
      <c r="B50" s="41" t="s">
        <v>67</v>
      </c>
      <c r="C50" s="51" t="n">
        <f aca="false">OperatingHours*(C33+C34)</f>
        <v>6900</v>
      </c>
      <c r="D50" s="51" t="n">
        <f aca="false">OperatingHours*(D33+D34)</f>
        <v>9000</v>
      </c>
      <c r="E50" s="51" t="n">
        <f aca="false">OperatingHours*(E33+E34)</f>
        <v>7500</v>
      </c>
      <c r="F50" s="51" t="n">
        <f aca="false">OperatingHours*(F33+F34)</f>
        <v>7200</v>
      </c>
      <c r="G50" s="51" t="n">
        <f aca="false">OperatingHours*(G33+G34)</f>
        <v>6900</v>
      </c>
      <c r="H50" s="51" t="n">
        <f aca="false">OperatingHours*(H33+H34)</f>
        <v>10500</v>
      </c>
      <c r="I50" s="51" t="n">
        <f aca="false">OperatingHours*(I33+I34)</f>
        <v>10500</v>
      </c>
    </row>
    <row r="51" customFormat="false" ht="19.5" hidden="false" customHeight="true" outlineLevel="0" collapsed="false">
      <c r="A51" s="21" t="s">
        <v>462</v>
      </c>
      <c r="B51" s="4"/>
      <c r="C51" s="4"/>
      <c r="D51" s="4"/>
      <c r="E51" s="4"/>
      <c r="F51" s="4"/>
      <c r="G51" s="4"/>
      <c r="H51" s="4"/>
      <c r="I51" s="4"/>
    </row>
    <row r="52" customFormat="false" ht="18.75" hidden="false" customHeight="true" outlineLevel="0" collapsed="false">
      <c r="A52" s="52" t="s">
        <v>463</v>
      </c>
      <c r="B52" s="53" t="s">
        <v>67</v>
      </c>
      <c r="C52" s="54" t="n">
        <f aca="false">C31+C49+C50-C35</f>
        <v>44260</v>
      </c>
      <c r="D52" s="54" t="n">
        <f aca="false">D31+D49+D50-D35</f>
        <v>46910</v>
      </c>
      <c r="E52" s="54" t="n">
        <f aca="false">E31+E49+E50-E35</f>
        <v>47160</v>
      </c>
      <c r="F52" s="54" t="n">
        <f aca="false">F31+F49+F50-F35</f>
        <v>43703</v>
      </c>
      <c r="G52" s="54" t="n">
        <f aca="false">G31+G49+G50-G35</f>
        <v>43920</v>
      </c>
      <c r="H52" s="54" t="n">
        <f aca="false">H31+H49+H50-H35</f>
        <v>43720</v>
      </c>
      <c r="I52" s="54" t="n">
        <f aca="false">I31+I49+I50-I35</f>
        <v>43720</v>
      </c>
    </row>
    <row r="53" customFormat="false" ht="18.75" hidden="false" customHeight="true" outlineLevel="0" collapsed="false">
      <c r="A53" s="14" t="s">
        <v>464</v>
      </c>
      <c r="B53" s="41" t="s">
        <v>437</v>
      </c>
      <c r="C53" s="50" t="n">
        <f aca="false">C46</f>
        <v>5.42</v>
      </c>
      <c r="D53" s="50" t="n">
        <f aca="false">D46</f>
        <v>5.76</v>
      </c>
      <c r="E53" s="50" t="n">
        <f aca="false">E46</f>
        <v>5.86</v>
      </c>
      <c r="F53" s="50" t="n">
        <f aca="false">F46</f>
        <v>5.64</v>
      </c>
      <c r="G53" s="50" t="n">
        <f aca="false">G46</f>
        <v>6.14</v>
      </c>
      <c r="H53" s="50" t="n">
        <f aca="false">H46</f>
        <v>6.74</v>
      </c>
      <c r="I53" s="50" t="n">
        <f aca="false">I46</f>
        <v>6.74</v>
      </c>
    </row>
    <row r="54" customFormat="false" ht="18.75" hidden="false" customHeight="true" outlineLevel="0" collapsed="false">
      <c r="A54" s="14" t="s">
        <v>465</v>
      </c>
      <c r="B54" s="41" t="s">
        <v>437</v>
      </c>
      <c r="C54" s="50" t="n">
        <f aca="false">IF(OperatingHours&gt;0,C52/OperatingHours,0)</f>
        <v>14.7533333333333</v>
      </c>
      <c r="D54" s="50" t="n">
        <f aca="false">IF(OperatingHours&gt;0,D52/OperatingHours,0)</f>
        <v>15.6366666666667</v>
      </c>
      <c r="E54" s="50" t="n">
        <f aca="false">IF(OperatingHours&gt;0,E52/OperatingHours,0)</f>
        <v>15.72</v>
      </c>
      <c r="F54" s="50" t="n">
        <f aca="false">IF(OperatingHours&gt;0,F52/OperatingHours,0)</f>
        <v>14.5676666666667</v>
      </c>
      <c r="G54" s="50" t="n">
        <f aca="false">IF(OperatingHours&gt;0,G52/OperatingHours,0)</f>
        <v>14.64</v>
      </c>
      <c r="H54" s="50" t="n">
        <f aca="false">IF(OperatingHours&gt;0,H52/OperatingHours,0)</f>
        <v>14.5733333333333</v>
      </c>
      <c r="I54" s="50" t="n">
        <f aca="false">IF(OperatingHours&gt;0,I52/OperatingHours,0)</f>
        <v>14.5733333333333</v>
      </c>
    </row>
    <row r="55" customFormat="false" ht="18.75" hidden="false" customHeight="true" outlineLevel="0" collapsed="false">
      <c r="A55" s="14" t="s">
        <v>466</v>
      </c>
      <c r="B55" s="41"/>
      <c r="C55" s="43" t="n">
        <f aca="false">C52*CurrencyRate</f>
        <v>44260</v>
      </c>
      <c r="D55" s="43" t="n">
        <f aca="false">D52*CurrencyRate</f>
        <v>46910</v>
      </c>
      <c r="E55" s="43" t="n">
        <f aca="false">E52*CurrencyRate</f>
        <v>47160</v>
      </c>
      <c r="F55" s="43" t="n">
        <f aca="false">F52*CurrencyRate</f>
        <v>43703</v>
      </c>
      <c r="G55" s="43" t="n">
        <f aca="false">G52*CurrencyRate</f>
        <v>43920</v>
      </c>
      <c r="H55" s="43" t="n">
        <f aca="false">H52*CurrencyRate</f>
        <v>43720</v>
      </c>
      <c r="I55" s="43" t="n">
        <f aca="false">I52*CurrencyRate</f>
        <v>43720</v>
      </c>
    </row>
    <row r="56" customFormat="false" ht="18.75" hidden="false" customHeight="true" outlineLevel="0" collapsed="false">
      <c r="A56" s="14" t="s">
        <v>467</v>
      </c>
      <c r="B56" s="41" t="s">
        <v>67</v>
      </c>
      <c r="C56" s="51" t="n">
        <f aca="false">IFERROR(C52-INDEX($C$52:$I$52,MATCH(LTR_Ref,$C$7:$I$7,0)),0)</f>
        <v>0</v>
      </c>
      <c r="D56" s="51" t="n">
        <f aca="false">IFERROR(D52-INDEX($C$52:$I$52,MATCH(LTR_Ref,$C$7:$I$7,0)),0)</f>
        <v>2650</v>
      </c>
      <c r="E56" s="51" t="n">
        <f aca="false">IFERROR(E52-INDEX($C$52:$I$52,MATCH(LTR_Ref,$C$7:$I$7,0)),0)</f>
        <v>2900</v>
      </c>
      <c r="F56" s="51" t="n">
        <f aca="false">IFERROR(F52-INDEX($C$52:$I$52,MATCH(LTR_Ref,$C$7:$I$7,0)),0)</f>
        <v>-557</v>
      </c>
      <c r="G56" s="51" t="n">
        <f aca="false">IFERROR(G52-INDEX($C$52:$I$52,MATCH(LTR_Ref,$C$7:$I$7,0)),0)</f>
        <v>-340</v>
      </c>
      <c r="H56" s="51" t="n">
        <f aca="false">IFERROR(H52-INDEX($C$52:$I$52,MATCH(LTR_Ref,$C$7:$I$7,0)),0)</f>
        <v>-540</v>
      </c>
      <c r="I56" s="51" t="n">
        <f aca="false">IFERROR(I52-INDEX($C$52:$I$52,MATCH(LTR_Ref,$C$7:$I$7,0)),0)</f>
        <v>-540</v>
      </c>
    </row>
    <row r="57" customFormat="false" ht="19.5" hidden="false" customHeight="true" outlineLevel="0" collapsed="false">
      <c r="A57" s="21" t="s">
        <v>468</v>
      </c>
      <c r="B57" s="4"/>
      <c r="C57" s="4"/>
      <c r="D57" s="4"/>
      <c r="E57" s="4"/>
      <c r="F57" s="4"/>
      <c r="G57" s="4"/>
      <c r="H57" s="4"/>
      <c r="I57" s="4"/>
    </row>
    <row r="58" customFormat="false" ht="18.75" hidden="false" customHeight="true" outlineLevel="0" collapsed="false">
      <c r="A58" s="14" t="s">
        <v>469</v>
      </c>
      <c r="B58" s="41" t="s">
        <v>61</v>
      </c>
      <c r="C58" s="43" t="n">
        <v>3500</v>
      </c>
      <c r="D58" s="43" t="n">
        <v>3500</v>
      </c>
      <c r="E58" s="43" t="n">
        <v>3500</v>
      </c>
      <c r="F58" s="43" t="n">
        <v>3500</v>
      </c>
      <c r="G58" s="43" t="n">
        <v>3500</v>
      </c>
      <c r="H58" s="43" t="n">
        <v>3500</v>
      </c>
      <c r="I58" s="43" t="n">
        <v>3500</v>
      </c>
    </row>
    <row r="59" customFormat="false" ht="18.75" hidden="false" customHeight="true" outlineLevel="0" collapsed="false">
      <c r="A59" s="14" t="s">
        <v>470</v>
      </c>
      <c r="B59" s="41" t="s">
        <v>67</v>
      </c>
      <c r="C59" s="51" t="n">
        <v>49700</v>
      </c>
      <c r="D59" s="51" t="n">
        <v>52205</v>
      </c>
      <c r="E59" s="51" t="n">
        <v>53030</v>
      </c>
      <c r="F59" s="51" t="n">
        <v>49358</v>
      </c>
      <c r="G59" s="51" t="n">
        <v>50350</v>
      </c>
      <c r="H59" s="51" t="n">
        <v>49925</v>
      </c>
      <c r="I59" s="51" t="n">
        <v>49925</v>
      </c>
    </row>
    <row r="60" customFormat="false" ht="164.25" hidden="false" customHeight="true" outlineLevel="0" collapsed="false">
      <c r="A60" s="14" t="s">
        <v>471</v>
      </c>
      <c r="B60" s="41"/>
      <c r="C60" s="14" t="s">
        <v>609</v>
      </c>
      <c r="D60" s="14" t="s">
        <v>610</v>
      </c>
      <c r="E60" s="14" t="s">
        <v>611</v>
      </c>
      <c r="F60" s="14" t="s">
        <v>612</v>
      </c>
      <c r="G60" s="14" t="s">
        <v>613</v>
      </c>
      <c r="H60" s="14" t="s">
        <v>614</v>
      </c>
      <c r="I60" s="14" t="s">
        <v>614</v>
      </c>
    </row>
    <row r="61" customFormat="false" ht="19.5" hidden="false" customHeight="true" outlineLevel="0" collapsed="false">
      <c r="A61" s="21" t="s">
        <v>478</v>
      </c>
      <c r="B61" s="4"/>
      <c r="C61" s="4"/>
      <c r="D61" s="4"/>
      <c r="E61" s="4"/>
      <c r="F61" s="4"/>
      <c r="G61" s="4"/>
      <c r="H61" s="4"/>
      <c r="I61" s="4"/>
    </row>
    <row r="62" customFormat="false" ht="15" hidden="false" customHeight="false" outlineLevel="0" collapsed="false">
      <c r="A62" s="14" t="s">
        <v>479</v>
      </c>
      <c r="B62" s="55" t="n">
        <v>0</v>
      </c>
      <c r="C62" s="56" t="n">
        <f aca="false">C$31+$B62*C$53-C$35</f>
        <v>28000</v>
      </c>
      <c r="D62" s="56" t="n">
        <f aca="false">D$31+$B62*D$53-D$35</f>
        <v>29630</v>
      </c>
      <c r="E62" s="56" t="n">
        <f aca="false">E$31+$B62*E$53-E$35</f>
        <v>29580</v>
      </c>
      <c r="F62" s="56" t="n">
        <f aca="false">F$31+$B62*F$53-F$35</f>
        <v>26783</v>
      </c>
      <c r="G62" s="56" t="n">
        <f aca="false">G$31+$B62*G$53-G$35</f>
        <v>25500</v>
      </c>
      <c r="H62" s="56" t="n">
        <f aca="false">H$31+$B62*H$53-H$35</f>
        <v>23500</v>
      </c>
      <c r="I62" s="56" t="n">
        <f aca="false">I$31+$B62*I$53-I$35</f>
        <v>23500</v>
      </c>
    </row>
    <row r="63" customFormat="false" ht="15" hidden="false" customHeight="false" outlineLevel="0" collapsed="false">
      <c r="A63" s="14" t="s">
        <v>479</v>
      </c>
      <c r="B63" s="55" t="n">
        <v>1000</v>
      </c>
      <c r="C63" s="56" t="n">
        <f aca="false">C$31+$B63*C$53-C$35</f>
        <v>33420</v>
      </c>
      <c r="D63" s="56" t="n">
        <f aca="false">D$31+$B63*D$53-D$35</f>
        <v>35390</v>
      </c>
      <c r="E63" s="56" t="n">
        <f aca="false">E$31+$B63*E$53-E$35</f>
        <v>35440</v>
      </c>
      <c r="F63" s="56" t="n">
        <f aca="false">F$31+$B63*F$53-F$35</f>
        <v>32423</v>
      </c>
      <c r="G63" s="56" t="n">
        <f aca="false">G$31+$B63*G$53-G$35</f>
        <v>31640</v>
      </c>
      <c r="H63" s="56" t="n">
        <f aca="false">H$31+$B63*H$53-H$35</f>
        <v>30240</v>
      </c>
      <c r="I63" s="56" t="n">
        <f aca="false">I$31+$B63*I$53-I$35</f>
        <v>30240</v>
      </c>
    </row>
    <row r="64" customFormat="false" ht="15" hidden="false" customHeight="false" outlineLevel="0" collapsed="false">
      <c r="A64" s="14" t="s">
        <v>479</v>
      </c>
      <c r="B64" s="55" t="n">
        <v>1500</v>
      </c>
      <c r="C64" s="56" t="n">
        <f aca="false">C$31+$B64*C$53-C$35</f>
        <v>36130</v>
      </c>
      <c r="D64" s="56" t="n">
        <f aca="false">D$31+$B64*D$53-D$35</f>
        <v>38270</v>
      </c>
      <c r="E64" s="56" t="n">
        <f aca="false">E$31+$B64*E$53-E$35</f>
        <v>38370</v>
      </c>
      <c r="F64" s="56" t="n">
        <f aca="false">F$31+$B64*F$53-F$35</f>
        <v>35243</v>
      </c>
      <c r="G64" s="56" t="n">
        <f aca="false">G$31+$B64*G$53-G$35</f>
        <v>34710</v>
      </c>
      <c r="H64" s="56" t="n">
        <f aca="false">H$31+$B64*H$53-H$35</f>
        <v>33610</v>
      </c>
      <c r="I64" s="56" t="n">
        <f aca="false">I$31+$B64*I$53-I$35</f>
        <v>33610</v>
      </c>
    </row>
    <row r="65" customFormat="false" ht="15" hidden="false" customHeight="false" outlineLevel="0" collapsed="false">
      <c r="A65" s="14" t="s">
        <v>479</v>
      </c>
      <c r="B65" s="55" t="n">
        <v>2000</v>
      </c>
      <c r="C65" s="56" t="n">
        <f aca="false">C$31+$B65*C$53-C$35</f>
        <v>38840</v>
      </c>
      <c r="D65" s="56" t="n">
        <f aca="false">D$31+$B65*D$53-D$35</f>
        <v>41150</v>
      </c>
      <c r="E65" s="56" t="n">
        <f aca="false">E$31+$B65*E$53-E$35</f>
        <v>41300</v>
      </c>
      <c r="F65" s="56" t="n">
        <f aca="false">F$31+$B65*F$53-F$35</f>
        <v>38063</v>
      </c>
      <c r="G65" s="56" t="n">
        <f aca="false">G$31+$B65*G$53-G$35</f>
        <v>37780</v>
      </c>
      <c r="H65" s="56" t="n">
        <f aca="false">H$31+$B65*H$53-H$35</f>
        <v>36980</v>
      </c>
      <c r="I65" s="56" t="n">
        <f aca="false">I$31+$B65*I$53-I$35</f>
        <v>36980</v>
      </c>
    </row>
    <row r="66" customFormat="false" ht="15" hidden="false" customHeight="false" outlineLevel="0" collapsed="false">
      <c r="A66" s="14" t="s">
        <v>479</v>
      </c>
      <c r="B66" s="55" t="n">
        <v>2500</v>
      </c>
      <c r="C66" s="56" t="n">
        <f aca="false">C$31+$B66*C$53-C$35</f>
        <v>41550</v>
      </c>
      <c r="D66" s="56" t="n">
        <f aca="false">D$31+$B66*D$53-D$35</f>
        <v>44030</v>
      </c>
      <c r="E66" s="56" t="n">
        <f aca="false">E$31+$B66*E$53-E$35</f>
        <v>44230</v>
      </c>
      <c r="F66" s="56" t="n">
        <f aca="false">F$31+$B66*F$53-F$35</f>
        <v>40883</v>
      </c>
      <c r="G66" s="56" t="n">
        <f aca="false">G$31+$B66*G$53-G$35</f>
        <v>40850</v>
      </c>
      <c r="H66" s="56" t="n">
        <f aca="false">H$31+$B66*H$53-H$35</f>
        <v>40350</v>
      </c>
      <c r="I66" s="56" t="n">
        <f aca="false">I$31+$B66*I$53-I$35</f>
        <v>40350</v>
      </c>
    </row>
    <row r="67" customFormat="false" ht="15" hidden="false" customHeight="false" outlineLevel="0" collapsed="false">
      <c r="A67" s="14" t="s">
        <v>479</v>
      </c>
      <c r="B67" s="55" t="n">
        <v>3000</v>
      </c>
      <c r="C67" s="56" t="n">
        <f aca="false">C$31+$B67*C$53-C$35</f>
        <v>44260</v>
      </c>
      <c r="D67" s="56" t="n">
        <f aca="false">D$31+$B67*D$53-D$35</f>
        <v>46910</v>
      </c>
      <c r="E67" s="56" t="n">
        <f aca="false">E$31+$B67*E$53-E$35</f>
        <v>47160</v>
      </c>
      <c r="F67" s="56" t="n">
        <f aca="false">F$31+$B67*F$53-F$35</f>
        <v>43703</v>
      </c>
      <c r="G67" s="56" t="n">
        <f aca="false">G$31+$B67*G$53-G$35</f>
        <v>43920</v>
      </c>
      <c r="H67" s="56" t="n">
        <f aca="false">H$31+$B67*H$53-H$35</f>
        <v>43720</v>
      </c>
      <c r="I67" s="56" t="n">
        <f aca="false">I$31+$B67*I$53-I$35</f>
        <v>43720</v>
      </c>
    </row>
    <row r="68" customFormat="false" ht="15" hidden="false" customHeight="false" outlineLevel="0" collapsed="false">
      <c r="A68" s="14" t="s">
        <v>479</v>
      </c>
      <c r="B68" s="55" t="n">
        <v>4000</v>
      </c>
      <c r="C68" s="56" t="n">
        <f aca="false">C$31+$B68*C$53-C$35</f>
        <v>49680</v>
      </c>
      <c r="D68" s="56" t="n">
        <f aca="false">D$31+$B68*D$53-D$35</f>
        <v>52670</v>
      </c>
      <c r="E68" s="56" t="n">
        <f aca="false">E$31+$B68*E$53-E$35</f>
        <v>53020</v>
      </c>
      <c r="F68" s="56" t="n">
        <f aca="false">F$31+$B68*F$53-F$35</f>
        <v>49343</v>
      </c>
      <c r="G68" s="56" t="n">
        <f aca="false">G$31+$B68*G$53-G$35</f>
        <v>50060</v>
      </c>
      <c r="H68" s="56" t="n">
        <f aca="false">H$31+$B68*H$53-H$35</f>
        <v>50460</v>
      </c>
      <c r="I68" s="56" t="n">
        <f aca="false">I$31+$B68*I$53-I$35</f>
        <v>50460</v>
      </c>
    </row>
    <row r="69" customFormat="false" ht="15" hidden="false" customHeight="false" outlineLevel="0" collapsed="false">
      <c r="A69" s="14" t="s">
        <v>479</v>
      </c>
      <c r="B69" s="55" t="n">
        <v>5000</v>
      </c>
      <c r="C69" s="56" t="n">
        <f aca="false">C$31+$B69*C$53-C$35</f>
        <v>55100</v>
      </c>
      <c r="D69" s="56" t="n">
        <f aca="false">D$31+$B69*D$53-D$35</f>
        <v>58430</v>
      </c>
      <c r="E69" s="56" t="n">
        <f aca="false">E$31+$B69*E$53-E$35</f>
        <v>58880</v>
      </c>
      <c r="F69" s="56" t="n">
        <f aca="false">F$31+$B69*F$53-F$35</f>
        <v>54983</v>
      </c>
      <c r="G69" s="56" t="n">
        <f aca="false">G$31+$B69*G$53-G$35</f>
        <v>56200</v>
      </c>
      <c r="H69" s="56" t="n">
        <f aca="false">H$31+$B69*H$53-H$35</f>
        <v>57200</v>
      </c>
      <c r="I69" s="56" t="n">
        <f aca="false">I$31+$B69*I$53-I$35</f>
        <v>57200</v>
      </c>
    </row>
    <row r="70" customFormat="false" ht="15" hidden="false" customHeight="false" outlineLevel="0" collapsed="false">
      <c r="A70" s="14" t="s">
        <v>479</v>
      </c>
      <c r="B70" s="55" t="n">
        <v>6000</v>
      </c>
      <c r="C70" s="56" t="n">
        <f aca="false">C$31+$B70*C$53-C$35</f>
        <v>60520</v>
      </c>
      <c r="D70" s="56" t="n">
        <f aca="false">D$31+$B70*D$53-D$35</f>
        <v>64190</v>
      </c>
      <c r="E70" s="56" t="n">
        <f aca="false">E$31+$B70*E$53-E$35</f>
        <v>64740</v>
      </c>
      <c r="F70" s="56" t="n">
        <f aca="false">F$31+$B70*F$53-F$35</f>
        <v>60623</v>
      </c>
      <c r="G70" s="56" t="n">
        <f aca="false">G$31+$B70*G$53-G$35</f>
        <v>62340</v>
      </c>
      <c r="H70" s="56" t="n">
        <f aca="false">H$31+$B70*H$53-H$35</f>
        <v>63940</v>
      </c>
      <c r="I70" s="56" t="n">
        <f aca="false">I$31+$B70*I$53-I$35</f>
        <v>63940</v>
      </c>
    </row>
    <row r="71" customFormat="false" ht="15" hidden="false" customHeight="false" outlineLevel="0" collapsed="false">
      <c r="A71" s="14" t="s">
        <v>479</v>
      </c>
      <c r="B71" s="55" t="n">
        <v>7000</v>
      </c>
      <c r="C71" s="56" t="n">
        <f aca="false">C$31+$B71*C$53-C$35</f>
        <v>65940</v>
      </c>
      <c r="D71" s="56" t="n">
        <f aca="false">D$31+$B71*D$53-D$35</f>
        <v>69950</v>
      </c>
      <c r="E71" s="56" t="n">
        <f aca="false">E$31+$B71*E$53-E$35</f>
        <v>70600</v>
      </c>
      <c r="F71" s="56" t="n">
        <f aca="false">F$31+$B71*F$53-F$35</f>
        <v>66263</v>
      </c>
      <c r="G71" s="56" t="n">
        <f aca="false">G$31+$B71*G$53-G$35</f>
        <v>68480</v>
      </c>
      <c r="H71" s="56" t="n">
        <f aca="false">H$31+$B71*H$53-H$35</f>
        <v>70680</v>
      </c>
      <c r="I71" s="56" t="n">
        <f aca="false">I$31+$B71*I$53-I$35</f>
        <v>70680</v>
      </c>
    </row>
    <row r="72" customFormat="false" ht="15" hidden="false" customHeight="false" outlineLevel="0" collapsed="false">
      <c r="A72" s="14" t="s">
        <v>479</v>
      </c>
      <c r="B72" s="55" t="n">
        <v>8000</v>
      </c>
      <c r="C72" s="56" t="n">
        <f aca="false">C$31+$B72*C$53-C$35</f>
        <v>71360</v>
      </c>
      <c r="D72" s="56" t="n">
        <f aca="false">D$31+$B72*D$53-D$35</f>
        <v>75710</v>
      </c>
      <c r="E72" s="56" t="n">
        <f aca="false">E$31+$B72*E$53-E$35</f>
        <v>76460</v>
      </c>
      <c r="F72" s="56" t="n">
        <f aca="false">F$31+$B72*F$53-F$35</f>
        <v>71903</v>
      </c>
      <c r="G72" s="56" t="n">
        <f aca="false">G$31+$B72*G$53-G$35</f>
        <v>74620</v>
      </c>
      <c r="H72" s="56" t="n">
        <f aca="false">H$31+$B72*H$53-H$35</f>
        <v>77420</v>
      </c>
      <c r="I72" s="56" t="n">
        <f aca="false">I$31+$B72*I$53-I$35</f>
        <v>77420</v>
      </c>
    </row>
    <row r="73" customFormat="false" ht="15" hidden="false" customHeight="false" outlineLevel="0" collapsed="false">
      <c r="A73" s="14" t="s">
        <v>479</v>
      </c>
      <c r="B73" s="55" t="n">
        <v>9000</v>
      </c>
      <c r="C73" s="56" t="n">
        <f aca="false">C$31+$B73*C$53-C$35</f>
        <v>76780</v>
      </c>
      <c r="D73" s="56" t="n">
        <f aca="false">D$31+$B73*D$53-D$35</f>
        <v>81470</v>
      </c>
      <c r="E73" s="56" t="n">
        <f aca="false">E$31+$B73*E$53-E$35</f>
        <v>82320</v>
      </c>
      <c r="F73" s="56" t="n">
        <f aca="false">F$31+$B73*F$53-F$35</f>
        <v>77543</v>
      </c>
      <c r="G73" s="56" t="n">
        <f aca="false">G$31+$B73*G$53-G$35</f>
        <v>80760</v>
      </c>
      <c r="H73" s="56" t="n">
        <f aca="false">H$31+$B73*H$53-H$35</f>
        <v>84160</v>
      </c>
      <c r="I73" s="56" t="n">
        <f aca="false">I$31+$B73*I$53-I$35</f>
        <v>84160</v>
      </c>
    </row>
    <row r="74" customFormat="false" ht="15" hidden="false" customHeight="false" outlineLevel="0" collapsed="false">
      <c r="A74" s="14" t="s">
        <v>479</v>
      </c>
      <c r="B74" s="55" t="n">
        <v>10000</v>
      </c>
      <c r="C74" s="56" t="n">
        <f aca="false">C$31+$B74*C$53-C$35</f>
        <v>82200</v>
      </c>
      <c r="D74" s="56" t="n">
        <f aca="false">D$31+$B74*D$53-D$35</f>
        <v>87230</v>
      </c>
      <c r="E74" s="56" t="n">
        <f aca="false">E$31+$B74*E$53-E$35</f>
        <v>88180</v>
      </c>
      <c r="F74" s="56" t="n">
        <f aca="false">F$31+$B74*F$53-F$35</f>
        <v>83183</v>
      </c>
      <c r="G74" s="56" t="n">
        <f aca="false">G$31+$B74*G$53-G$35</f>
        <v>86900</v>
      </c>
      <c r="H74" s="56" t="n">
        <f aca="false">H$31+$B74*H$53-H$35</f>
        <v>90900</v>
      </c>
      <c r="I74" s="56" t="n">
        <f aca="false">I$31+$B74*I$53-I$35</f>
        <v>90900</v>
      </c>
    </row>
  </sheetData>
  <dataValidations count="3">
    <dataValidation allowBlank="false" errorStyle="stop" operator="between" showDropDown="false" showErrorMessage="false" showInputMessage="false" sqref="E5" type="list">
      <formula1>"Rock,Gravel,Mixed soil,Clay"</formula1>
      <formula2>0</formula2>
    </dataValidation>
    <dataValidation allowBlank="false" errorStyle="stop" operator="between" showDropDown="false" showErrorMessage="false" showInputMessage="false" sqref="I5" type="list">
      <formula1>IDS_LTR</formula1>
      <formula2>0</formula2>
    </dataValidation>
    <dataValidation allowBlank="false" errorStyle="stop" operator="between" showDropDown="false" showErrorMessage="false" showInputMessage="false" sqref="C36:I36" type="list">
      <formula1>"YES,NO,-"</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&amp;LBOMAG Compare Hub&amp;R&amp;P /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C43"/>
    <pageSetUpPr fitToPage="true"/>
  </sheetPr>
  <dimension ref="A1:I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1"/>
    <col collapsed="false" customWidth="true" hidden="false" outlineLevel="0" max="9" min="3" style="0" width="26"/>
  </cols>
  <sheetData>
    <row r="1" customFormat="false" ht="30" hidden="false" customHeight="true" outlineLevel="0" collapsed="false">
      <c r="A1" s="1" t="s">
        <v>615</v>
      </c>
      <c r="B1" s="2"/>
      <c r="C1" s="2"/>
      <c r="D1" s="2"/>
      <c r="E1" s="2"/>
      <c r="F1" s="2"/>
      <c r="G1" s="2"/>
      <c r="H1" s="2"/>
      <c r="I1" s="2"/>
    </row>
    <row r="2" customFormat="false" ht="18" hidden="false" customHeight="true" outlineLevel="0" collapsed="false">
      <c r="A2" s="3" t="s">
        <v>555</v>
      </c>
      <c r="B2" s="2"/>
      <c r="C2" s="2"/>
      <c r="D2" s="2"/>
      <c r="E2" s="2"/>
      <c r="F2" s="2"/>
      <c r="G2" s="2"/>
      <c r="H2" s="2"/>
      <c r="I2" s="2"/>
    </row>
    <row r="4" customFormat="false" ht="39.75" hidden="false" customHeight="true" outlineLevel="0" collapsed="false">
      <c r="A4" s="21" t="s">
        <v>80</v>
      </c>
      <c r="B4" s="22"/>
      <c r="C4" s="23" t="s">
        <v>81</v>
      </c>
      <c r="D4" s="23" t="s">
        <v>82</v>
      </c>
      <c r="E4" s="23" t="s">
        <v>83</v>
      </c>
      <c r="F4" s="23" t="s">
        <v>84</v>
      </c>
      <c r="G4" s="23" t="s">
        <v>85</v>
      </c>
      <c r="H4" s="23" t="s">
        <v>86</v>
      </c>
      <c r="I4" s="23" t="s">
        <v>23</v>
      </c>
    </row>
    <row r="5" customFormat="false" ht="30" hidden="false" customHeight="true" outlineLevel="0" collapsed="false">
      <c r="A5" s="24" t="s">
        <v>92</v>
      </c>
      <c r="B5" s="11"/>
      <c r="C5" s="25" t="n">
        <f aca="false">DieselPrice</f>
        <v>1.2</v>
      </c>
      <c r="D5" s="26" t="n">
        <f aca="false">OperatingHours</f>
        <v>3000</v>
      </c>
      <c r="E5" s="27" t="s">
        <v>93</v>
      </c>
      <c r="F5" s="28" t="n">
        <v>1</v>
      </c>
      <c r="G5" s="29" t="n">
        <v>0</v>
      </c>
      <c r="H5" s="30" t="n">
        <v>1.25</v>
      </c>
      <c r="I5" s="27" t="s">
        <v>616</v>
      </c>
    </row>
    <row r="7" customFormat="false" ht="15" hidden="false" customHeight="false" outlineLevel="0" collapsed="false">
      <c r="A7" s="33" t="s">
        <v>95</v>
      </c>
      <c r="B7" s="11"/>
      <c r="C7" s="34" t="s">
        <v>616</v>
      </c>
      <c r="D7" s="34" t="s">
        <v>617</v>
      </c>
      <c r="E7" s="34" t="s">
        <v>618</v>
      </c>
      <c r="F7" s="34" t="s">
        <v>619</v>
      </c>
      <c r="G7" s="34" t="s">
        <v>620</v>
      </c>
    </row>
    <row r="8" customFormat="false" ht="15" hidden="false" customHeight="false" outlineLevel="0" collapsed="false">
      <c r="A8" s="35" t="s">
        <v>143</v>
      </c>
      <c r="B8" s="36"/>
      <c r="C8" s="37" t="s">
        <v>144</v>
      </c>
      <c r="D8" s="38" t="s">
        <v>155</v>
      </c>
      <c r="E8" s="38" t="s">
        <v>149</v>
      </c>
      <c r="F8" s="38" t="s">
        <v>146</v>
      </c>
      <c r="G8" s="38" t="s">
        <v>148</v>
      </c>
    </row>
    <row r="9" customFormat="false" ht="27.75" hidden="false" customHeight="true" outlineLevel="0" collapsed="false">
      <c r="A9" s="35" t="s">
        <v>158</v>
      </c>
      <c r="B9" s="39" t="s">
        <v>55</v>
      </c>
      <c r="C9" s="10" t="s">
        <v>621</v>
      </c>
      <c r="D9" s="40" t="s">
        <v>622</v>
      </c>
      <c r="E9" s="40" t="s">
        <v>623</v>
      </c>
      <c r="F9" s="40" t="s">
        <v>624</v>
      </c>
      <c r="G9" s="40" t="s">
        <v>625</v>
      </c>
    </row>
    <row r="11" customFormat="false" ht="19.5" hidden="false" customHeight="true" outlineLevel="0" collapsed="false">
      <c r="A11" s="21" t="s">
        <v>204</v>
      </c>
      <c r="B11" s="4"/>
      <c r="C11" s="4"/>
      <c r="D11" s="4"/>
      <c r="E11" s="4"/>
      <c r="F11" s="4"/>
      <c r="G11" s="4"/>
    </row>
    <row r="12" customFormat="false" ht="18.75" hidden="false" customHeight="true" outlineLevel="0" collapsed="false">
      <c r="A12" s="14" t="s">
        <v>213</v>
      </c>
      <c r="B12" s="41"/>
      <c r="C12" s="43" t="n">
        <v>9700</v>
      </c>
      <c r="D12" s="43" t="n">
        <v>10400</v>
      </c>
      <c r="E12" s="43" t="n">
        <v>9500</v>
      </c>
      <c r="F12" s="43" t="n">
        <v>10400</v>
      </c>
      <c r="G12" s="43" t="n">
        <v>9190</v>
      </c>
    </row>
    <row r="13" customFormat="false" ht="18.75" hidden="false" customHeight="true" outlineLevel="0" collapsed="false">
      <c r="A13" s="14" t="s">
        <v>214</v>
      </c>
      <c r="B13" s="41"/>
      <c r="C13" s="42" t="s">
        <v>626</v>
      </c>
      <c r="D13" s="42" t="s">
        <v>627</v>
      </c>
      <c r="E13" s="42" t="s">
        <v>628</v>
      </c>
      <c r="F13" s="42" t="s">
        <v>227</v>
      </c>
      <c r="G13" s="42" t="s">
        <v>626</v>
      </c>
    </row>
    <row r="14" customFormat="false" ht="18.75" hidden="false" customHeight="true" outlineLevel="0" collapsed="false">
      <c r="A14" s="14" t="s">
        <v>249</v>
      </c>
      <c r="B14" s="41"/>
      <c r="C14" s="42" t="n">
        <v>1.68</v>
      </c>
      <c r="D14" s="42" t="n">
        <v>1.7</v>
      </c>
      <c r="E14" s="42" t="n">
        <v>1.7</v>
      </c>
      <c r="F14" s="42" t="n">
        <v>1.73</v>
      </c>
      <c r="G14" s="42" t="n">
        <v>1.68</v>
      </c>
    </row>
    <row r="15" customFormat="false" ht="18.75" hidden="false" customHeight="true" outlineLevel="0" collapsed="false">
      <c r="A15" s="14" t="s">
        <v>250</v>
      </c>
      <c r="B15" s="41"/>
      <c r="C15" s="42" t="n">
        <v>114</v>
      </c>
      <c r="D15" s="42" t="n">
        <v>99</v>
      </c>
      <c r="E15" s="42" t="n">
        <v>130</v>
      </c>
      <c r="F15" s="42" t="n">
        <v>110</v>
      </c>
      <c r="G15" s="42" t="n">
        <v>134</v>
      </c>
    </row>
    <row r="16" customFormat="false" ht="18.75" hidden="false" customHeight="true" outlineLevel="0" collapsed="false">
      <c r="A16" s="14" t="s">
        <v>251</v>
      </c>
      <c r="B16" s="41"/>
      <c r="C16" s="42" t="s">
        <v>629</v>
      </c>
      <c r="D16" s="42" t="s">
        <v>630</v>
      </c>
      <c r="E16" s="42" t="s">
        <v>631</v>
      </c>
      <c r="F16" s="42" t="s">
        <v>632</v>
      </c>
      <c r="G16" s="42" t="s">
        <v>633</v>
      </c>
    </row>
    <row r="17" customFormat="false" ht="18.75" hidden="false" customHeight="true" outlineLevel="0" collapsed="false">
      <c r="A17" s="14" t="s">
        <v>281</v>
      </c>
      <c r="B17" s="41"/>
      <c r="C17" s="42" t="n">
        <v>30.1</v>
      </c>
      <c r="D17" s="42" t="n">
        <v>30.9</v>
      </c>
      <c r="E17" s="42" t="n">
        <v>28.5</v>
      </c>
      <c r="F17" s="42" t="n">
        <v>31</v>
      </c>
      <c r="G17" s="42" t="n">
        <v>27.6</v>
      </c>
    </row>
    <row r="18" customFormat="false" ht="18.75" hidden="false" customHeight="true" outlineLevel="0" collapsed="false">
      <c r="A18" s="14" t="s">
        <v>282</v>
      </c>
      <c r="B18" s="41"/>
      <c r="C18" s="42" t="n">
        <v>35</v>
      </c>
      <c r="D18" s="42" t="n">
        <v>30</v>
      </c>
      <c r="E18" s="42" t="n">
        <v>31</v>
      </c>
      <c r="F18" s="42" t="n">
        <v>45</v>
      </c>
      <c r="G18" s="42" t="n">
        <v>40</v>
      </c>
    </row>
    <row r="19" customFormat="false" ht="18.75" hidden="false" customHeight="true" outlineLevel="0" collapsed="false">
      <c r="A19" s="14" t="s">
        <v>283</v>
      </c>
      <c r="B19" s="41"/>
      <c r="C19" s="42" t="s">
        <v>287</v>
      </c>
      <c r="D19" s="42" t="s">
        <v>634</v>
      </c>
      <c r="E19" s="42" t="s">
        <v>285</v>
      </c>
      <c r="F19" s="42" t="s">
        <v>288</v>
      </c>
      <c r="G19" s="42" t="s">
        <v>287</v>
      </c>
    </row>
    <row r="20" customFormat="false" ht="18.75" hidden="false" customHeight="true" outlineLevel="0" collapsed="false">
      <c r="A20" s="14" t="s">
        <v>290</v>
      </c>
      <c r="B20" s="41"/>
      <c r="C20" s="42" t="n">
        <v>0.3</v>
      </c>
      <c r="D20" s="42" t="n">
        <v>0.3</v>
      </c>
      <c r="E20" s="42" t="n">
        <v>0.3</v>
      </c>
      <c r="F20" s="42" t="n">
        <v>0.3</v>
      </c>
      <c r="G20" s="42" t="n">
        <v>0.3</v>
      </c>
    </row>
    <row r="21" customFormat="false" ht="18.75" hidden="false" customHeight="true" outlineLevel="0" collapsed="false">
      <c r="A21" s="14" t="s">
        <v>291</v>
      </c>
      <c r="B21" s="41"/>
      <c r="C21" s="42" t="s">
        <v>635</v>
      </c>
      <c r="D21" s="42" t="s">
        <v>636</v>
      </c>
      <c r="E21" s="42" t="s">
        <v>637</v>
      </c>
      <c r="F21" s="42" t="s">
        <v>638</v>
      </c>
      <c r="G21" s="42" t="s">
        <v>639</v>
      </c>
    </row>
    <row r="22" customFormat="false" ht="124.5" hidden="false" customHeight="true" outlineLevel="0" collapsed="false">
      <c r="A22" s="14" t="s">
        <v>300</v>
      </c>
      <c r="B22" s="41"/>
      <c r="C22" s="14" t="s">
        <v>640</v>
      </c>
      <c r="D22" s="42" t="s">
        <v>593</v>
      </c>
      <c r="E22" s="14" t="s">
        <v>641</v>
      </c>
      <c r="F22" s="42" t="s">
        <v>593</v>
      </c>
      <c r="G22" s="14" t="s">
        <v>642</v>
      </c>
    </row>
    <row r="23" customFormat="false" ht="164.25" hidden="false" customHeight="true" outlineLevel="0" collapsed="false">
      <c r="A23" s="14" t="s">
        <v>643</v>
      </c>
      <c r="B23" s="41"/>
      <c r="C23" s="14" t="s">
        <v>644</v>
      </c>
      <c r="D23" s="42" t="s">
        <v>593</v>
      </c>
      <c r="E23" s="42" t="s">
        <v>593</v>
      </c>
      <c r="F23" s="42" t="s">
        <v>593</v>
      </c>
      <c r="G23" s="42" t="s">
        <v>593</v>
      </c>
    </row>
    <row r="24" customFormat="false" ht="32.25" hidden="false" customHeight="true" outlineLevel="0" collapsed="false">
      <c r="A24" s="14" t="s">
        <v>310</v>
      </c>
      <c r="B24" s="41"/>
      <c r="C24" s="42" t="s">
        <v>645</v>
      </c>
      <c r="D24" s="42" t="s">
        <v>646</v>
      </c>
      <c r="E24" s="42" t="s">
        <v>314</v>
      </c>
      <c r="F24" s="42" t="s">
        <v>647</v>
      </c>
      <c r="G24" s="42" t="s">
        <v>648</v>
      </c>
    </row>
    <row r="25" customFormat="false" ht="45" hidden="false" customHeight="true" outlineLevel="0" collapsed="false">
      <c r="A25" s="14" t="s">
        <v>315</v>
      </c>
      <c r="B25" s="41"/>
      <c r="C25" s="14" t="s">
        <v>649</v>
      </c>
      <c r="D25" s="14" t="s">
        <v>650</v>
      </c>
      <c r="E25" s="14" t="s">
        <v>651</v>
      </c>
      <c r="F25" s="42" t="s">
        <v>652</v>
      </c>
      <c r="G25" s="42" t="s">
        <v>653</v>
      </c>
    </row>
    <row r="26" customFormat="false" ht="111" hidden="false" customHeight="true" outlineLevel="0" collapsed="false">
      <c r="A26" s="14" t="s">
        <v>654</v>
      </c>
      <c r="B26" s="41"/>
      <c r="C26" s="14" t="s">
        <v>655</v>
      </c>
      <c r="D26" s="14" t="s">
        <v>656</v>
      </c>
      <c r="E26" s="14" t="s">
        <v>657</v>
      </c>
      <c r="F26" s="14" t="s">
        <v>658</v>
      </c>
      <c r="G26" s="14" t="s">
        <v>659</v>
      </c>
    </row>
    <row r="27" customFormat="false" ht="72" hidden="false" customHeight="true" outlineLevel="0" collapsed="false">
      <c r="A27" s="14" t="s">
        <v>394</v>
      </c>
      <c r="B27" s="41"/>
      <c r="C27" s="14" t="s">
        <v>394</v>
      </c>
      <c r="D27" s="42" t="s">
        <v>593</v>
      </c>
      <c r="E27" s="42" t="s">
        <v>593</v>
      </c>
      <c r="F27" s="14" t="s">
        <v>394</v>
      </c>
      <c r="G27" s="14" t="s">
        <v>660</v>
      </c>
    </row>
    <row r="28" customFormat="false" ht="19.5" hidden="false" customHeight="true" outlineLevel="0" collapsed="false">
      <c r="A28" s="21" t="s">
        <v>326</v>
      </c>
      <c r="B28" s="4"/>
      <c r="C28" s="4"/>
      <c r="D28" s="4"/>
      <c r="E28" s="4"/>
      <c r="F28" s="4"/>
      <c r="G28" s="4"/>
    </row>
    <row r="29" customFormat="false" ht="45" hidden="false" customHeight="true" outlineLevel="0" collapsed="false">
      <c r="A29" s="14" t="s">
        <v>600</v>
      </c>
      <c r="B29" s="41"/>
      <c r="C29" s="14" t="s">
        <v>649</v>
      </c>
      <c r="D29" s="14" t="s">
        <v>650</v>
      </c>
      <c r="E29" s="14" t="s">
        <v>651</v>
      </c>
      <c r="F29" s="42" t="s">
        <v>652</v>
      </c>
      <c r="G29" s="42" t="s">
        <v>653</v>
      </c>
    </row>
    <row r="30" customFormat="false" ht="19.5" hidden="false" customHeight="true" outlineLevel="0" collapsed="false">
      <c r="A30" s="21" t="s">
        <v>432</v>
      </c>
      <c r="B30" s="4"/>
      <c r="C30" s="4"/>
      <c r="D30" s="4"/>
      <c r="E30" s="4"/>
      <c r="F30" s="4"/>
      <c r="G30" s="4"/>
    </row>
    <row r="31" customFormat="false" ht="18.75" hidden="false" customHeight="true" outlineLevel="0" collapsed="false">
      <c r="A31" s="14" t="s">
        <v>433</v>
      </c>
      <c r="B31" s="41" t="s">
        <v>67</v>
      </c>
      <c r="C31" s="44" t="n">
        <v>28000</v>
      </c>
      <c r="D31" s="44" t="n">
        <v>28000</v>
      </c>
      <c r="E31" s="44" t="n">
        <v>28000</v>
      </c>
      <c r="F31" s="44" t="n">
        <v>28000</v>
      </c>
      <c r="G31" s="44" t="n">
        <v>28000</v>
      </c>
    </row>
    <row r="32" customFormat="false" ht="18.75" hidden="false" customHeight="true" outlineLevel="0" collapsed="false">
      <c r="A32" s="14" t="s">
        <v>434</v>
      </c>
      <c r="B32" s="41" t="s">
        <v>435</v>
      </c>
      <c r="C32" s="45" t="n">
        <v>11.8</v>
      </c>
      <c r="D32" s="45" t="n">
        <v>11.8</v>
      </c>
      <c r="E32" s="45" t="n">
        <v>11.8</v>
      </c>
      <c r="F32" s="45" t="n">
        <v>11.8</v>
      </c>
      <c r="G32" s="45" t="n">
        <v>11.8</v>
      </c>
    </row>
    <row r="33" customFormat="false" ht="18.75" hidden="false" customHeight="true" outlineLevel="0" collapsed="false">
      <c r="A33" s="14" t="s">
        <v>436</v>
      </c>
      <c r="B33" s="41" t="s">
        <v>437</v>
      </c>
      <c r="C33" s="46" t="n">
        <v>1</v>
      </c>
      <c r="D33" s="46" t="n">
        <v>1</v>
      </c>
      <c r="E33" s="46" t="n">
        <v>1</v>
      </c>
      <c r="F33" s="46" t="n">
        <v>1</v>
      </c>
      <c r="G33" s="46" t="n">
        <v>1</v>
      </c>
    </row>
    <row r="34" customFormat="false" ht="18.75" hidden="false" customHeight="true" outlineLevel="0" collapsed="false">
      <c r="A34" s="14" t="s">
        <v>438</v>
      </c>
      <c r="B34" s="41" t="s">
        <v>437</v>
      </c>
      <c r="C34" s="46" t="n">
        <v>2</v>
      </c>
      <c r="D34" s="46" t="n">
        <v>2</v>
      </c>
      <c r="E34" s="46" t="n">
        <v>2</v>
      </c>
      <c r="F34" s="46" t="n">
        <v>2</v>
      </c>
      <c r="G34" s="46" t="n">
        <v>2</v>
      </c>
    </row>
    <row r="35" customFormat="false" ht="18.75" hidden="false" customHeight="true" outlineLevel="0" collapsed="false">
      <c r="A35" s="14" t="s">
        <v>439</v>
      </c>
      <c r="B35" s="41" t="s">
        <v>67</v>
      </c>
      <c r="C35" s="44" t="n">
        <v>0</v>
      </c>
      <c r="D35" s="44" t="n">
        <v>0</v>
      </c>
      <c r="E35" s="44" t="n">
        <v>0</v>
      </c>
      <c r="F35" s="44" t="n">
        <v>0</v>
      </c>
      <c r="G35" s="44" t="n">
        <v>0</v>
      </c>
    </row>
    <row r="36" customFormat="false" ht="32.25" hidden="false" customHeight="true" outlineLevel="0" collapsed="false">
      <c r="A36" s="14" t="s">
        <v>443</v>
      </c>
      <c r="B36" s="41" t="s">
        <v>440</v>
      </c>
      <c r="C36" s="47" t="s">
        <v>442</v>
      </c>
      <c r="D36" s="47" t="s">
        <v>212</v>
      </c>
      <c r="E36" s="47" t="s">
        <v>212</v>
      </c>
      <c r="F36" s="47" t="s">
        <v>212</v>
      </c>
      <c r="G36" s="47" t="s">
        <v>212</v>
      </c>
    </row>
    <row r="37" customFormat="false" ht="19.5" hidden="false" customHeight="true" outlineLevel="0" collapsed="false">
      <c r="A37" s="21" t="s">
        <v>444</v>
      </c>
      <c r="B37" s="4"/>
      <c r="C37" s="4"/>
      <c r="D37" s="4"/>
      <c r="E37" s="4"/>
      <c r="F37" s="4"/>
      <c r="G37" s="4"/>
    </row>
    <row r="38" customFormat="false" ht="18.75" hidden="false" customHeight="true" outlineLevel="0" collapsed="false">
      <c r="A38" s="14" t="s">
        <v>445</v>
      </c>
      <c r="B38" s="41" t="s">
        <v>446</v>
      </c>
      <c r="C38" s="48" t="n">
        <v>517</v>
      </c>
      <c r="D38" s="48" t="n">
        <v>633</v>
      </c>
      <c r="E38" s="48" t="n">
        <v>483</v>
      </c>
      <c r="F38" s="48" t="n">
        <v>633</v>
      </c>
      <c r="G38" s="48" t="n">
        <v>432</v>
      </c>
    </row>
    <row r="39" customFormat="false" ht="18.75" hidden="false" customHeight="true" outlineLevel="0" collapsed="false">
      <c r="A39" s="14" t="s">
        <v>447</v>
      </c>
      <c r="B39" s="41" t="s">
        <v>446</v>
      </c>
      <c r="C39" s="48" t="n">
        <v>317</v>
      </c>
      <c r="D39" s="48" t="n">
        <v>433</v>
      </c>
      <c r="E39" s="48" t="n">
        <v>283</v>
      </c>
      <c r="F39" s="48" t="n">
        <v>433</v>
      </c>
      <c r="G39" s="48" t="n">
        <v>232</v>
      </c>
    </row>
    <row r="40" customFormat="false" ht="18.75" hidden="false" customHeight="true" outlineLevel="0" collapsed="false">
      <c r="A40" s="14" t="s">
        <v>448</v>
      </c>
      <c r="B40" s="41" t="s">
        <v>446</v>
      </c>
      <c r="C40" s="48" t="n">
        <v>293</v>
      </c>
      <c r="D40" s="48" t="n">
        <v>387</v>
      </c>
      <c r="E40" s="48" t="n">
        <v>267</v>
      </c>
      <c r="F40" s="48" t="n">
        <v>387</v>
      </c>
      <c r="G40" s="48" t="n">
        <v>225</v>
      </c>
    </row>
    <row r="41" customFormat="false" ht="18.75" hidden="false" customHeight="true" outlineLevel="0" collapsed="false">
      <c r="A41" s="14" t="s">
        <v>449</v>
      </c>
      <c r="B41" s="41" t="s">
        <v>446</v>
      </c>
      <c r="C41" s="48" t="n">
        <v>147</v>
      </c>
      <c r="D41" s="48" t="n">
        <v>193</v>
      </c>
      <c r="E41" s="48" t="n">
        <v>133</v>
      </c>
      <c r="F41" s="48" t="n">
        <v>193</v>
      </c>
      <c r="G41" s="48" t="n">
        <v>113</v>
      </c>
    </row>
    <row r="42" customFormat="false" ht="18.75" hidden="false" customHeight="true" outlineLevel="0" collapsed="false">
      <c r="A42" s="14" t="s">
        <v>450</v>
      </c>
      <c r="B42" s="41" t="s">
        <v>446</v>
      </c>
      <c r="C42" s="43" t="n">
        <f aca="false">INDEX(C38:C41,MATCH(HTR_Soil,{"Rock","Gravel","Mixed soil","Clay"},0))</f>
        <v>293</v>
      </c>
      <c r="D42" s="43" t="n">
        <f aca="false">INDEX(D38:D41,MATCH(HTR_Soil,{"Rock","Gravel","Mixed soil","Clay"},0))</f>
        <v>387</v>
      </c>
      <c r="E42" s="43" t="n">
        <f aca="false">INDEX(E38:E41,MATCH(HTR_Soil,{"Rock","Gravel","Mixed soil","Clay"},0))</f>
        <v>267</v>
      </c>
      <c r="F42" s="43" t="n">
        <f aca="false">INDEX(F38:F41,MATCH(HTR_Soil,{"Rock","Gravel","Mixed soil","Clay"},0))</f>
        <v>387</v>
      </c>
      <c r="G42" s="43" t="n">
        <f aca="false">INDEX(G38:G41,MATCH(HTR_Soil,{"Rock","Gravel","Mixed soil","Clay"},0))</f>
        <v>225</v>
      </c>
    </row>
    <row r="43" customFormat="false" ht="18.75" hidden="false" customHeight="true" outlineLevel="0" collapsed="false">
      <c r="A43" s="14" t="s">
        <v>451</v>
      </c>
      <c r="B43" s="41" t="s">
        <v>446</v>
      </c>
      <c r="C43" s="43" t="n">
        <f aca="false">C42*IF(AND(C8="BOMAG",C36="YES"),HTR_TechFactor,1)</f>
        <v>293</v>
      </c>
      <c r="D43" s="43" t="n">
        <f aca="false">D42*IF(AND(D8="BOMAG",D36="YES"),HTR_TechFactor,1)</f>
        <v>387</v>
      </c>
      <c r="E43" s="43" t="n">
        <f aca="false">E42*IF(AND(E8="BOMAG",E36="YES"),HTR_TechFactor,1)</f>
        <v>267</v>
      </c>
      <c r="F43" s="43" t="n">
        <f aca="false">F42*IF(AND(F8="BOMAG",F36="YES"),HTR_TechFactor,1)</f>
        <v>387</v>
      </c>
      <c r="G43" s="43" t="n">
        <f aca="false">G42*IF(AND(G8="BOMAG",G36="YES"),HTR_TechFactor,1)</f>
        <v>225</v>
      </c>
    </row>
    <row r="44" customFormat="false" ht="18.75" hidden="false" customHeight="true" outlineLevel="0" collapsed="false">
      <c r="A44" s="14" t="s">
        <v>452</v>
      </c>
      <c r="B44" s="41" t="s">
        <v>446</v>
      </c>
      <c r="C44" s="43" t="n">
        <f aca="false">C43*HTR_Efficiency</f>
        <v>293</v>
      </c>
      <c r="D44" s="43" t="n">
        <f aca="false">D43*HTR_Efficiency</f>
        <v>387</v>
      </c>
      <c r="E44" s="43" t="n">
        <f aca="false">E43*HTR_Efficiency</f>
        <v>267</v>
      </c>
      <c r="F44" s="43" t="n">
        <f aca="false">F43*HTR_Efficiency</f>
        <v>387</v>
      </c>
      <c r="G44" s="43" t="n">
        <f aca="false">G43*HTR_Efficiency</f>
        <v>225</v>
      </c>
    </row>
    <row r="45" customFormat="false" ht="18.75" hidden="false" customHeight="true" outlineLevel="0" collapsed="false">
      <c r="A45" s="14" t="s">
        <v>453</v>
      </c>
      <c r="B45" s="41" t="s">
        <v>61</v>
      </c>
      <c r="C45" s="49" t="n">
        <f aca="false">IF(AND(C44&gt;0,HTR_Volume&gt;0),HTR_Volume/C44,0)</f>
        <v>0</v>
      </c>
      <c r="D45" s="49" t="n">
        <f aca="false">IF(AND(D44&gt;0,HTR_Volume&gt;0),HTR_Volume/D44,0)</f>
        <v>0</v>
      </c>
      <c r="E45" s="49" t="n">
        <f aca="false">IF(AND(E44&gt;0,HTR_Volume&gt;0),HTR_Volume/E44,0)</f>
        <v>0</v>
      </c>
      <c r="F45" s="49" t="n">
        <f aca="false">IF(AND(F44&gt;0,HTR_Volume&gt;0),HTR_Volume/F44,0)</f>
        <v>0</v>
      </c>
      <c r="G45" s="49" t="n">
        <f aca="false">IF(AND(G44&gt;0,HTR_Volume&gt;0),HTR_Volume/G44,0)</f>
        <v>0</v>
      </c>
    </row>
    <row r="46" customFormat="false" ht="18.75" hidden="false" customHeight="true" outlineLevel="0" collapsed="false">
      <c r="A46" s="14" t="s">
        <v>454</v>
      </c>
      <c r="B46" s="41" t="s">
        <v>437</v>
      </c>
      <c r="C46" s="50" t="n">
        <f aca="false">C32*DieselPrice+C33+C34</f>
        <v>17.16</v>
      </c>
      <c r="D46" s="50" t="n">
        <f aca="false">D32*DieselPrice+D33+D34</f>
        <v>17.16</v>
      </c>
      <c r="E46" s="50" t="n">
        <f aca="false">E32*DieselPrice+E33+E34</f>
        <v>17.16</v>
      </c>
      <c r="F46" s="50" t="n">
        <f aca="false">F32*DieselPrice+F33+F34</f>
        <v>17.16</v>
      </c>
      <c r="G46" s="50" t="n">
        <f aca="false">G32*DieselPrice+G33+G34</f>
        <v>17.16</v>
      </c>
    </row>
    <row r="47" customFormat="false" ht="18.75" hidden="false" customHeight="true" outlineLevel="0" collapsed="false">
      <c r="A47" s="14" t="s">
        <v>455</v>
      </c>
      <c r="B47" s="41" t="s">
        <v>67</v>
      </c>
      <c r="C47" s="51" t="n">
        <f aca="false">C45*C46</f>
        <v>0</v>
      </c>
      <c r="D47" s="51" t="n">
        <f aca="false">D45*D46</f>
        <v>0</v>
      </c>
      <c r="E47" s="51" t="n">
        <f aca="false">E45*E46</f>
        <v>0</v>
      </c>
      <c r="F47" s="51" t="n">
        <f aca="false">F45*F46</f>
        <v>0</v>
      </c>
      <c r="G47" s="51" t="n">
        <f aca="false">G45*G46</f>
        <v>0</v>
      </c>
    </row>
    <row r="48" customFormat="false" ht="19.5" hidden="false" customHeight="true" outlineLevel="0" collapsed="false">
      <c r="A48" s="21" t="s">
        <v>456</v>
      </c>
      <c r="B48" s="4"/>
      <c r="C48" s="4"/>
      <c r="D48" s="4"/>
      <c r="E48" s="4"/>
      <c r="F48" s="4"/>
      <c r="G48" s="4"/>
    </row>
    <row r="49" customFormat="false" ht="18.75" hidden="false" customHeight="true" outlineLevel="0" collapsed="false">
      <c r="A49" s="14" t="s">
        <v>457</v>
      </c>
      <c r="B49" s="41" t="s">
        <v>67</v>
      </c>
      <c r="C49" s="51" t="n">
        <f aca="false">C32*OperatingHours*DieselPrice</f>
        <v>42480</v>
      </c>
      <c r="D49" s="51" t="n">
        <f aca="false">D32*OperatingHours*DieselPrice</f>
        <v>42480</v>
      </c>
      <c r="E49" s="51" t="n">
        <f aca="false">E32*OperatingHours*DieselPrice</f>
        <v>42480</v>
      </c>
      <c r="F49" s="51" t="n">
        <f aca="false">F32*OperatingHours*DieselPrice</f>
        <v>42480</v>
      </c>
      <c r="G49" s="51" t="n">
        <f aca="false">G32*OperatingHours*DieselPrice</f>
        <v>42480</v>
      </c>
    </row>
    <row r="50" customFormat="false" ht="18.75" hidden="false" customHeight="true" outlineLevel="0" collapsed="false">
      <c r="A50" s="14" t="s">
        <v>458</v>
      </c>
      <c r="B50" s="41" t="s">
        <v>67</v>
      </c>
      <c r="C50" s="51" t="n">
        <f aca="false">OperatingHours*(C33+C34)</f>
        <v>9000</v>
      </c>
      <c r="D50" s="51" t="n">
        <f aca="false">OperatingHours*(D33+D34)</f>
        <v>9000</v>
      </c>
      <c r="E50" s="51" t="n">
        <f aca="false">OperatingHours*(E33+E34)</f>
        <v>9000</v>
      </c>
      <c r="F50" s="51" t="n">
        <f aca="false">OperatingHours*(F33+F34)</f>
        <v>9000</v>
      </c>
      <c r="G50" s="51" t="n">
        <f aca="false">OperatingHours*(G33+G34)</f>
        <v>9000</v>
      </c>
    </row>
    <row r="51" customFormat="false" ht="19.5" hidden="false" customHeight="true" outlineLevel="0" collapsed="false">
      <c r="A51" s="21" t="s">
        <v>462</v>
      </c>
      <c r="B51" s="4"/>
      <c r="C51" s="4"/>
      <c r="D51" s="4"/>
      <c r="E51" s="4"/>
      <c r="F51" s="4"/>
      <c r="G51" s="4"/>
    </row>
    <row r="52" customFormat="false" ht="18.75" hidden="false" customHeight="true" outlineLevel="0" collapsed="false">
      <c r="A52" s="52" t="s">
        <v>463</v>
      </c>
      <c r="B52" s="53" t="s">
        <v>67</v>
      </c>
      <c r="C52" s="54" t="n">
        <f aca="false">C31+C49+C50-C35</f>
        <v>79480</v>
      </c>
      <c r="D52" s="54" t="n">
        <f aca="false">D31+D49+D50-D35</f>
        <v>79480</v>
      </c>
      <c r="E52" s="54" t="n">
        <f aca="false">E31+E49+E50-E35</f>
        <v>79480</v>
      </c>
      <c r="F52" s="54" t="n">
        <f aca="false">F31+F49+F50-F35</f>
        <v>79480</v>
      </c>
      <c r="G52" s="54" t="n">
        <f aca="false">G31+G49+G50-G35</f>
        <v>79480</v>
      </c>
    </row>
    <row r="53" customFormat="false" ht="18.75" hidden="false" customHeight="true" outlineLevel="0" collapsed="false">
      <c r="A53" s="14" t="s">
        <v>464</v>
      </c>
      <c r="B53" s="41" t="s">
        <v>437</v>
      </c>
      <c r="C53" s="50" t="n">
        <f aca="false">C46</f>
        <v>17.16</v>
      </c>
      <c r="D53" s="50" t="n">
        <f aca="false">D46</f>
        <v>17.16</v>
      </c>
      <c r="E53" s="50" t="n">
        <f aca="false">E46</f>
        <v>17.16</v>
      </c>
      <c r="F53" s="50" t="n">
        <f aca="false">F46</f>
        <v>17.16</v>
      </c>
      <c r="G53" s="50" t="n">
        <f aca="false">G46</f>
        <v>17.16</v>
      </c>
    </row>
    <row r="54" customFormat="false" ht="18.75" hidden="false" customHeight="true" outlineLevel="0" collapsed="false">
      <c r="A54" s="14" t="s">
        <v>465</v>
      </c>
      <c r="B54" s="41" t="s">
        <v>437</v>
      </c>
      <c r="C54" s="50" t="n">
        <f aca="false">IF(OperatingHours&gt;0,C52/OperatingHours,0)</f>
        <v>26.4933333333333</v>
      </c>
      <c r="D54" s="50" t="n">
        <f aca="false">IF(OperatingHours&gt;0,D52/OperatingHours,0)</f>
        <v>26.4933333333333</v>
      </c>
      <c r="E54" s="50" t="n">
        <f aca="false">IF(OperatingHours&gt;0,E52/OperatingHours,0)</f>
        <v>26.4933333333333</v>
      </c>
      <c r="F54" s="50" t="n">
        <f aca="false">IF(OperatingHours&gt;0,F52/OperatingHours,0)</f>
        <v>26.4933333333333</v>
      </c>
      <c r="G54" s="50" t="n">
        <f aca="false">IF(OperatingHours&gt;0,G52/OperatingHours,0)</f>
        <v>26.4933333333333</v>
      </c>
    </row>
    <row r="55" customFormat="false" ht="18.75" hidden="false" customHeight="true" outlineLevel="0" collapsed="false">
      <c r="A55" s="14" t="s">
        <v>466</v>
      </c>
      <c r="B55" s="41"/>
      <c r="C55" s="43" t="n">
        <f aca="false">C52*CurrencyRate</f>
        <v>79480</v>
      </c>
      <c r="D55" s="43" t="n">
        <f aca="false">D52*CurrencyRate</f>
        <v>79480</v>
      </c>
      <c r="E55" s="43" t="n">
        <f aca="false">E52*CurrencyRate</f>
        <v>79480</v>
      </c>
      <c r="F55" s="43" t="n">
        <f aca="false">F52*CurrencyRate</f>
        <v>79480</v>
      </c>
      <c r="G55" s="43" t="n">
        <f aca="false">G52*CurrencyRate</f>
        <v>79480</v>
      </c>
    </row>
    <row r="56" customFormat="false" ht="18.75" hidden="false" customHeight="true" outlineLevel="0" collapsed="false">
      <c r="A56" s="14" t="s">
        <v>467</v>
      </c>
      <c r="B56" s="41" t="s">
        <v>67</v>
      </c>
      <c r="C56" s="51" t="n">
        <f aca="false">IFERROR(C52-INDEX($C$52:$G$52,MATCH(HTR_Ref,$C$7:$G$7,0)),0)</f>
        <v>0</v>
      </c>
      <c r="D56" s="51" t="n">
        <f aca="false">IFERROR(D52-INDEX($C$52:$G$52,MATCH(HTR_Ref,$C$7:$G$7,0)),0)</f>
        <v>0</v>
      </c>
      <c r="E56" s="51" t="n">
        <f aca="false">IFERROR(E52-INDEX($C$52:$G$52,MATCH(HTR_Ref,$C$7:$G$7,0)),0)</f>
        <v>0</v>
      </c>
      <c r="F56" s="51" t="n">
        <f aca="false">IFERROR(F52-INDEX($C$52:$G$52,MATCH(HTR_Ref,$C$7:$G$7,0)),0)</f>
        <v>0</v>
      </c>
      <c r="G56" s="51" t="n">
        <f aca="false">IFERROR(G52-INDEX($C$52:$G$52,MATCH(HTR_Ref,$C$7:$G$7,0)),0)</f>
        <v>0</v>
      </c>
    </row>
    <row r="57" customFormat="false" ht="19.5" hidden="false" customHeight="true" outlineLevel="0" collapsed="false">
      <c r="A57" s="21" t="s">
        <v>468</v>
      </c>
      <c r="B57" s="4"/>
      <c r="C57" s="4"/>
      <c r="D57" s="4"/>
      <c r="E57" s="4"/>
      <c r="F57" s="4"/>
      <c r="G57" s="4"/>
    </row>
    <row r="58" customFormat="false" ht="18.75" hidden="false" customHeight="true" outlineLevel="0" collapsed="false">
      <c r="A58" s="14" t="s">
        <v>469</v>
      </c>
      <c r="B58" s="41" t="s">
        <v>61</v>
      </c>
      <c r="C58" s="43" t="n">
        <v>2000</v>
      </c>
      <c r="D58" s="43" t="n">
        <v>2000</v>
      </c>
      <c r="E58" s="43" t="n">
        <v>2000</v>
      </c>
      <c r="F58" s="43" t="n">
        <v>2000</v>
      </c>
      <c r="G58" s="43" t="n">
        <v>2000</v>
      </c>
    </row>
    <row r="59" customFormat="false" ht="18.75" hidden="false" customHeight="true" outlineLevel="0" collapsed="false">
      <c r="A59" s="14" t="s">
        <v>470</v>
      </c>
      <c r="B59" s="41" t="s">
        <v>67</v>
      </c>
      <c r="C59" s="51" t="n">
        <v>50000</v>
      </c>
      <c r="D59" s="51" t="n">
        <v>50000</v>
      </c>
      <c r="E59" s="51" t="n">
        <v>50000</v>
      </c>
      <c r="F59" s="51" t="n">
        <v>50000</v>
      </c>
      <c r="G59" s="51" t="n">
        <v>50000</v>
      </c>
    </row>
    <row r="60" customFormat="false" ht="84.75" hidden="false" customHeight="true" outlineLevel="0" collapsed="false">
      <c r="A60" s="14" t="s">
        <v>471</v>
      </c>
      <c r="B60" s="41"/>
      <c r="C60" s="14" t="s">
        <v>661</v>
      </c>
      <c r="D60" s="14" t="s">
        <v>661</v>
      </c>
      <c r="E60" s="14" t="s">
        <v>661</v>
      </c>
      <c r="F60" s="14" t="s">
        <v>661</v>
      </c>
      <c r="G60" s="14" t="s">
        <v>661</v>
      </c>
    </row>
    <row r="61" customFormat="false" ht="19.5" hidden="false" customHeight="true" outlineLevel="0" collapsed="false">
      <c r="A61" s="21" t="s">
        <v>478</v>
      </c>
      <c r="B61" s="4"/>
      <c r="C61" s="4"/>
      <c r="D61" s="4"/>
      <c r="E61" s="4"/>
      <c r="F61" s="4"/>
      <c r="G61" s="4"/>
    </row>
    <row r="62" customFormat="false" ht="15" hidden="false" customHeight="false" outlineLevel="0" collapsed="false">
      <c r="A62" s="14" t="s">
        <v>479</v>
      </c>
      <c r="B62" s="55" t="n">
        <v>0</v>
      </c>
      <c r="C62" s="56" t="n">
        <f aca="false">C$31+$B62*C$53-C$35</f>
        <v>28000</v>
      </c>
      <c r="D62" s="56" t="n">
        <f aca="false">D$31+$B62*D$53-D$35</f>
        <v>28000</v>
      </c>
      <c r="E62" s="56" t="n">
        <f aca="false">E$31+$B62*E$53-E$35</f>
        <v>28000</v>
      </c>
      <c r="F62" s="56" t="n">
        <f aca="false">F$31+$B62*F$53-F$35</f>
        <v>28000</v>
      </c>
      <c r="G62" s="56" t="n">
        <f aca="false">G$31+$B62*G$53-G$35</f>
        <v>28000</v>
      </c>
    </row>
    <row r="63" customFormat="false" ht="15" hidden="false" customHeight="false" outlineLevel="0" collapsed="false">
      <c r="A63" s="14" t="s">
        <v>479</v>
      </c>
      <c r="B63" s="55" t="n">
        <v>1000</v>
      </c>
      <c r="C63" s="56" t="n">
        <f aca="false">C$31+$B63*C$53-C$35</f>
        <v>45160</v>
      </c>
      <c r="D63" s="56" t="n">
        <f aca="false">D$31+$B63*D$53-D$35</f>
        <v>45160</v>
      </c>
      <c r="E63" s="56" t="n">
        <f aca="false">E$31+$B63*E$53-E$35</f>
        <v>45160</v>
      </c>
      <c r="F63" s="56" t="n">
        <f aca="false">F$31+$B63*F$53-F$35</f>
        <v>45160</v>
      </c>
      <c r="G63" s="56" t="n">
        <f aca="false">G$31+$B63*G$53-G$35</f>
        <v>45160</v>
      </c>
    </row>
    <row r="64" customFormat="false" ht="15" hidden="false" customHeight="false" outlineLevel="0" collapsed="false">
      <c r="A64" s="14" t="s">
        <v>479</v>
      </c>
      <c r="B64" s="55" t="n">
        <v>1500</v>
      </c>
      <c r="C64" s="56" t="n">
        <f aca="false">C$31+$B64*C$53-C$35</f>
        <v>53740</v>
      </c>
      <c r="D64" s="56" t="n">
        <f aca="false">D$31+$B64*D$53-D$35</f>
        <v>53740</v>
      </c>
      <c r="E64" s="56" t="n">
        <f aca="false">E$31+$B64*E$53-E$35</f>
        <v>53740</v>
      </c>
      <c r="F64" s="56" t="n">
        <f aca="false">F$31+$B64*F$53-F$35</f>
        <v>53740</v>
      </c>
      <c r="G64" s="56" t="n">
        <f aca="false">G$31+$B64*G$53-G$35</f>
        <v>53740</v>
      </c>
    </row>
    <row r="65" customFormat="false" ht="15" hidden="false" customHeight="false" outlineLevel="0" collapsed="false">
      <c r="A65" s="14" t="s">
        <v>479</v>
      </c>
      <c r="B65" s="55" t="n">
        <v>2000</v>
      </c>
      <c r="C65" s="56" t="n">
        <f aca="false">C$31+$B65*C$53-C$35</f>
        <v>62320</v>
      </c>
      <c r="D65" s="56" t="n">
        <f aca="false">D$31+$B65*D$53-D$35</f>
        <v>62320</v>
      </c>
      <c r="E65" s="56" t="n">
        <f aca="false">E$31+$B65*E$53-E$35</f>
        <v>62320</v>
      </c>
      <c r="F65" s="56" t="n">
        <f aca="false">F$31+$B65*F$53-F$35</f>
        <v>62320</v>
      </c>
      <c r="G65" s="56" t="n">
        <f aca="false">G$31+$B65*G$53-G$35</f>
        <v>62320</v>
      </c>
    </row>
    <row r="66" customFormat="false" ht="15" hidden="false" customHeight="false" outlineLevel="0" collapsed="false">
      <c r="A66" s="14" t="s">
        <v>479</v>
      </c>
      <c r="B66" s="55" t="n">
        <v>2500</v>
      </c>
      <c r="C66" s="56" t="n">
        <f aca="false">C$31+$B66*C$53-C$35</f>
        <v>70900</v>
      </c>
      <c r="D66" s="56" t="n">
        <f aca="false">D$31+$B66*D$53-D$35</f>
        <v>70900</v>
      </c>
      <c r="E66" s="56" t="n">
        <f aca="false">E$31+$B66*E$53-E$35</f>
        <v>70900</v>
      </c>
      <c r="F66" s="56" t="n">
        <f aca="false">F$31+$B66*F$53-F$35</f>
        <v>70900</v>
      </c>
      <c r="G66" s="56" t="n">
        <f aca="false">G$31+$B66*G$53-G$35</f>
        <v>70900</v>
      </c>
    </row>
    <row r="67" customFormat="false" ht="15" hidden="false" customHeight="false" outlineLevel="0" collapsed="false">
      <c r="A67" s="14" t="s">
        <v>479</v>
      </c>
      <c r="B67" s="55" t="n">
        <v>3000</v>
      </c>
      <c r="C67" s="56" t="n">
        <f aca="false">C$31+$B67*C$53-C$35</f>
        <v>79480</v>
      </c>
      <c r="D67" s="56" t="n">
        <f aca="false">D$31+$B67*D$53-D$35</f>
        <v>79480</v>
      </c>
      <c r="E67" s="56" t="n">
        <f aca="false">E$31+$B67*E$53-E$35</f>
        <v>79480</v>
      </c>
      <c r="F67" s="56" t="n">
        <f aca="false">F$31+$B67*F$53-F$35</f>
        <v>79480</v>
      </c>
      <c r="G67" s="56" t="n">
        <f aca="false">G$31+$B67*G$53-G$35</f>
        <v>79480</v>
      </c>
    </row>
    <row r="68" customFormat="false" ht="15" hidden="false" customHeight="false" outlineLevel="0" collapsed="false">
      <c r="A68" s="14" t="s">
        <v>479</v>
      </c>
      <c r="B68" s="55" t="n">
        <v>4000</v>
      </c>
      <c r="C68" s="56" t="n">
        <f aca="false">C$31+$B68*C$53-C$35</f>
        <v>96640</v>
      </c>
      <c r="D68" s="56" t="n">
        <f aca="false">D$31+$B68*D$53-D$35</f>
        <v>96640</v>
      </c>
      <c r="E68" s="56" t="n">
        <f aca="false">E$31+$B68*E$53-E$35</f>
        <v>96640</v>
      </c>
      <c r="F68" s="56" t="n">
        <f aca="false">F$31+$B68*F$53-F$35</f>
        <v>96640</v>
      </c>
      <c r="G68" s="56" t="n">
        <f aca="false">G$31+$B68*G$53-G$35</f>
        <v>96640</v>
      </c>
    </row>
    <row r="69" customFormat="false" ht="15" hidden="false" customHeight="false" outlineLevel="0" collapsed="false">
      <c r="A69" s="14" t="s">
        <v>479</v>
      </c>
      <c r="B69" s="55" t="n">
        <v>5000</v>
      </c>
      <c r="C69" s="56" t="n">
        <f aca="false">C$31+$B69*C$53-C$35</f>
        <v>113800</v>
      </c>
      <c r="D69" s="56" t="n">
        <f aca="false">D$31+$B69*D$53-D$35</f>
        <v>113800</v>
      </c>
      <c r="E69" s="56" t="n">
        <f aca="false">E$31+$B69*E$53-E$35</f>
        <v>113800</v>
      </c>
      <c r="F69" s="56" t="n">
        <f aca="false">F$31+$B69*F$53-F$35</f>
        <v>113800</v>
      </c>
      <c r="G69" s="56" t="n">
        <f aca="false">G$31+$B69*G$53-G$35</f>
        <v>113800</v>
      </c>
    </row>
    <row r="70" customFormat="false" ht="15" hidden="false" customHeight="false" outlineLevel="0" collapsed="false">
      <c r="A70" s="14" t="s">
        <v>479</v>
      </c>
      <c r="B70" s="55" t="n">
        <v>6000</v>
      </c>
      <c r="C70" s="56" t="n">
        <f aca="false">C$31+$B70*C$53-C$35</f>
        <v>130960</v>
      </c>
      <c r="D70" s="56" t="n">
        <f aca="false">D$31+$B70*D$53-D$35</f>
        <v>130960</v>
      </c>
      <c r="E70" s="56" t="n">
        <f aca="false">E$31+$B70*E$53-E$35</f>
        <v>130960</v>
      </c>
      <c r="F70" s="56" t="n">
        <f aca="false">F$31+$B70*F$53-F$35</f>
        <v>130960</v>
      </c>
      <c r="G70" s="56" t="n">
        <f aca="false">G$31+$B70*G$53-G$35</f>
        <v>130960</v>
      </c>
    </row>
    <row r="71" customFormat="false" ht="15" hidden="false" customHeight="false" outlineLevel="0" collapsed="false">
      <c r="A71" s="14" t="s">
        <v>479</v>
      </c>
      <c r="B71" s="55" t="n">
        <v>7000</v>
      </c>
      <c r="C71" s="56" t="n">
        <f aca="false">C$31+$B71*C$53-C$35</f>
        <v>148120</v>
      </c>
      <c r="D71" s="56" t="n">
        <f aca="false">D$31+$B71*D$53-D$35</f>
        <v>148120</v>
      </c>
      <c r="E71" s="56" t="n">
        <f aca="false">E$31+$B71*E$53-E$35</f>
        <v>148120</v>
      </c>
      <c r="F71" s="56" t="n">
        <f aca="false">F$31+$B71*F$53-F$35</f>
        <v>148120</v>
      </c>
      <c r="G71" s="56" t="n">
        <f aca="false">G$31+$B71*G$53-G$35</f>
        <v>148120</v>
      </c>
    </row>
    <row r="72" customFormat="false" ht="15" hidden="false" customHeight="false" outlineLevel="0" collapsed="false">
      <c r="A72" s="14" t="s">
        <v>479</v>
      </c>
      <c r="B72" s="55" t="n">
        <v>8000</v>
      </c>
      <c r="C72" s="56" t="n">
        <f aca="false">C$31+$B72*C$53-C$35</f>
        <v>165280</v>
      </c>
      <c r="D72" s="56" t="n">
        <f aca="false">D$31+$B72*D$53-D$35</f>
        <v>165280</v>
      </c>
      <c r="E72" s="56" t="n">
        <f aca="false">E$31+$B72*E$53-E$35</f>
        <v>165280</v>
      </c>
      <c r="F72" s="56" t="n">
        <f aca="false">F$31+$B72*F$53-F$35</f>
        <v>165280</v>
      </c>
      <c r="G72" s="56" t="n">
        <f aca="false">G$31+$B72*G$53-G$35</f>
        <v>165280</v>
      </c>
    </row>
    <row r="73" customFormat="false" ht="15" hidden="false" customHeight="false" outlineLevel="0" collapsed="false">
      <c r="A73" s="14" t="s">
        <v>479</v>
      </c>
      <c r="B73" s="55" t="n">
        <v>9000</v>
      </c>
      <c r="C73" s="56" t="n">
        <f aca="false">C$31+$B73*C$53-C$35</f>
        <v>182440</v>
      </c>
      <c r="D73" s="56" t="n">
        <f aca="false">D$31+$B73*D$53-D$35</f>
        <v>182440</v>
      </c>
      <c r="E73" s="56" t="n">
        <f aca="false">E$31+$B73*E$53-E$35</f>
        <v>182440</v>
      </c>
      <c r="F73" s="56" t="n">
        <f aca="false">F$31+$B73*F$53-F$35</f>
        <v>182440</v>
      </c>
      <c r="G73" s="56" t="n">
        <f aca="false">G$31+$B73*G$53-G$35</f>
        <v>182440</v>
      </c>
    </row>
    <row r="74" customFormat="false" ht="15" hidden="false" customHeight="false" outlineLevel="0" collapsed="false">
      <c r="A74" s="14" t="s">
        <v>479</v>
      </c>
      <c r="B74" s="55" t="n">
        <v>10000</v>
      </c>
      <c r="C74" s="56" t="n">
        <f aca="false">C$31+$B74*C$53-C$35</f>
        <v>199600</v>
      </c>
      <c r="D74" s="56" t="n">
        <f aca="false">D$31+$B74*D$53-D$35</f>
        <v>199600</v>
      </c>
      <c r="E74" s="56" t="n">
        <f aca="false">E$31+$B74*E$53-E$35</f>
        <v>199600</v>
      </c>
      <c r="F74" s="56" t="n">
        <f aca="false">F$31+$B74*F$53-F$35</f>
        <v>199600</v>
      </c>
      <c r="G74" s="56" t="n">
        <f aca="false">G$31+$B74*G$53-G$35</f>
        <v>199600</v>
      </c>
    </row>
  </sheetData>
  <dataValidations count="3">
    <dataValidation allowBlank="false" errorStyle="stop" operator="between" showDropDown="false" showErrorMessage="false" showInputMessage="false" sqref="E5" type="list">
      <formula1>"Rock,Gravel,Mixed soil,Clay"</formula1>
      <formula2>0</formula2>
    </dataValidation>
    <dataValidation allowBlank="false" errorStyle="stop" operator="between" showDropDown="false" showErrorMessage="false" showInputMessage="false" sqref="I5" type="list">
      <formula1>IDS_HTR</formula1>
      <formula2>0</formula2>
    </dataValidation>
    <dataValidation allowBlank="false" errorStyle="stop" operator="between" showDropDown="false" showErrorMessage="false" showInputMessage="false" sqref="C36:G36" type="list">
      <formula1>"YES,NO,-"</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&amp;LBOMAG Compare Hub&amp;R&amp;P /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C43"/>
    <pageSetUpPr fitToPage="true"/>
  </sheetPr>
  <dimension ref="A1:M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1"/>
    <col collapsed="false" customWidth="true" hidden="false" outlineLevel="0" max="7" min="3" style="0" width="26"/>
  </cols>
  <sheetData>
    <row r="1" customFormat="false" ht="30" hidden="false" customHeight="true" outlineLevel="0" collapsed="false">
      <c r="A1" s="1" t="s">
        <v>662</v>
      </c>
      <c r="B1" s="2"/>
      <c r="C1" s="2"/>
      <c r="D1" s="2"/>
      <c r="E1" s="2"/>
      <c r="F1" s="2"/>
      <c r="G1" s="2"/>
      <c r="H1" s="2"/>
    </row>
    <row r="2" customFormat="false" ht="18" hidden="false" customHeight="true" outlineLevel="0" collapsed="false">
      <c r="A2" s="3" t="s">
        <v>663</v>
      </c>
      <c r="B2" s="2"/>
      <c r="C2" s="2"/>
      <c r="D2" s="2"/>
      <c r="E2" s="2"/>
      <c r="F2" s="2"/>
      <c r="G2" s="2"/>
      <c r="H2" s="2"/>
    </row>
    <row r="4" customFormat="false" ht="39.75" hidden="false" customHeight="true" outlineLevel="0" collapsed="false">
      <c r="A4" s="21" t="s">
        <v>80</v>
      </c>
      <c r="B4" s="22"/>
      <c r="C4" s="23" t="s">
        <v>81</v>
      </c>
      <c r="D4" s="23" t="s">
        <v>82</v>
      </c>
      <c r="E4" s="23" t="s">
        <v>664</v>
      </c>
      <c r="F4" s="23" t="s">
        <v>665</v>
      </c>
      <c r="G4" s="23" t="s">
        <v>23</v>
      </c>
    </row>
    <row r="5" customFormat="false" ht="30" hidden="false" customHeight="true" outlineLevel="0" collapsed="false">
      <c r="A5" s="24" t="s">
        <v>92</v>
      </c>
      <c r="B5" s="11"/>
      <c r="C5" s="25" t="n">
        <f aca="false">DieselPrice</f>
        <v>1.2</v>
      </c>
      <c r="D5" s="26" t="n">
        <f aca="false">OperatingHours</f>
        <v>3000</v>
      </c>
      <c r="E5" s="29" t="n">
        <v>0</v>
      </c>
      <c r="F5" s="28" t="n">
        <v>0.2</v>
      </c>
      <c r="G5" s="27" t="s">
        <v>666</v>
      </c>
    </row>
    <row r="7" customFormat="false" ht="15" hidden="false" customHeight="false" outlineLevel="0" collapsed="false">
      <c r="A7" s="33" t="s">
        <v>95</v>
      </c>
      <c r="B7" s="11"/>
      <c r="C7" s="34" t="s">
        <v>666</v>
      </c>
      <c r="D7" s="34" t="s">
        <v>667</v>
      </c>
      <c r="E7" s="34" t="s">
        <v>668</v>
      </c>
    </row>
    <row r="8" customFormat="false" ht="15" hidden="false" customHeight="false" outlineLevel="0" collapsed="false">
      <c r="A8" s="35" t="s">
        <v>143</v>
      </c>
      <c r="B8" s="36"/>
      <c r="C8" s="37" t="s">
        <v>144</v>
      </c>
      <c r="D8" s="38" t="s">
        <v>151</v>
      </c>
      <c r="E8" s="38" t="s">
        <v>150</v>
      </c>
    </row>
    <row r="9" customFormat="false" ht="27.75" hidden="false" customHeight="true" outlineLevel="0" collapsed="false">
      <c r="A9" s="35" t="s">
        <v>158</v>
      </c>
      <c r="B9" s="39" t="s">
        <v>55</v>
      </c>
      <c r="C9" s="10" t="s">
        <v>669</v>
      </c>
      <c r="D9" s="40" t="s">
        <v>670</v>
      </c>
      <c r="E9" s="40" t="s">
        <v>671</v>
      </c>
    </row>
    <row r="11" customFormat="false" ht="19.5" hidden="false" customHeight="true" outlineLevel="0" collapsed="false">
      <c r="A11" s="21" t="s">
        <v>204</v>
      </c>
      <c r="B11" s="4"/>
      <c r="C11" s="4"/>
      <c r="D11" s="4"/>
      <c r="E11" s="4"/>
    </row>
    <row r="12" customFormat="false" ht="18.75" hidden="false" customHeight="true" outlineLevel="0" collapsed="false">
      <c r="A12" s="14" t="s">
        <v>672</v>
      </c>
      <c r="B12" s="41"/>
      <c r="C12" s="42" t="s">
        <v>673</v>
      </c>
      <c r="D12" s="42" t="s">
        <v>673</v>
      </c>
      <c r="E12" s="42" t="s">
        <v>673</v>
      </c>
    </row>
    <row r="13" customFormat="false" ht="18.75" hidden="false" customHeight="true" outlineLevel="0" collapsed="false">
      <c r="A13" s="14" t="s">
        <v>674</v>
      </c>
      <c r="B13" s="41"/>
      <c r="C13" s="42" t="s">
        <v>675</v>
      </c>
      <c r="D13" s="42" t="s">
        <v>676</v>
      </c>
      <c r="E13" s="42" t="s">
        <v>677</v>
      </c>
    </row>
    <row r="14" customFormat="false" ht="18.75" hidden="false" customHeight="true" outlineLevel="0" collapsed="false">
      <c r="A14" s="14" t="s">
        <v>678</v>
      </c>
      <c r="B14" s="41"/>
      <c r="C14" s="42" t="s">
        <v>679</v>
      </c>
      <c r="D14" s="42" t="s">
        <v>680</v>
      </c>
      <c r="E14" s="42" t="s">
        <v>681</v>
      </c>
    </row>
    <row r="15" customFormat="false" ht="18.75" hidden="false" customHeight="true" outlineLevel="0" collapsed="false">
      <c r="A15" s="14" t="s">
        <v>682</v>
      </c>
      <c r="B15" s="41"/>
      <c r="C15" s="42" t="s">
        <v>683</v>
      </c>
      <c r="D15" s="42" t="s">
        <v>684</v>
      </c>
      <c r="E15" s="42" t="s">
        <v>683</v>
      </c>
    </row>
    <row r="16" customFormat="false" ht="18.75" hidden="false" customHeight="true" outlineLevel="0" collapsed="false">
      <c r="A16" s="14" t="s">
        <v>685</v>
      </c>
      <c r="B16" s="41"/>
      <c r="C16" s="42" t="s">
        <v>686</v>
      </c>
      <c r="D16" s="42" t="s">
        <v>687</v>
      </c>
      <c r="E16" s="42" t="s">
        <v>688</v>
      </c>
    </row>
    <row r="17" customFormat="false" ht="18.75" hidden="false" customHeight="true" outlineLevel="0" collapsed="false">
      <c r="A17" s="14" t="s">
        <v>689</v>
      </c>
      <c r="B17" s="41"/>
      <c r="C17" s="42" t="s">
        <v>690</v>
      </c>
      <c r="D17" s="42" t="s">
        <v>690</v>
      </c>
      <c r="E17" s="42" t="s">
        <v>691</v>
      </c>
    </row>
    <row r="18" customFormat="false" ht="18.75" hidden="false" customHeight="true" outlineLevel="0" collapsed="false">
      <c r="A18" s="14" t="s">
        <v>692</v>
      </c>
      <c r="B18" s="41"/>
      <c r="C18" s="42" t="s">
        <v>693</v>
      </c>
      <c r="D18" s="42" t="s">
        <v>212</v>
      </c>
      <c r="E18" s="42" t="s">
        <v>694</v>
      </c>
    </row>
    <row r="19" customFormat="false" ht="18.75" hidden="false" customHeight="true" outlineLevel="0" collapsed="false">
      <c r="A19" s="14" t="s">
        <v>695</v>
      </c>
      <c r="B19" s="41"/>
      <c r="C19" s="42" t="s">
        <v>696</v>
      </c>
      <c r="D19" s="42" t="s">
        <v>697</v>
      </c>
      <c r="E19" s="42" t="s">
        <v>696</v>
      </c>
    </row>
    <row r="20" customFormat="false" ht="18.75" hidden="false" customHeight="true" outlineLevel="0" collapsed="false">
      <c r="A20" s="14" t="s">
        <v>698</v>
      </c>
      <c r="B20" s="41"/>
      <c r="C20" s="42" t="s">
        <v>699</v>
      </c>
      <c r="D20" s="42" t="s">
        <v>700</v>
      </c>
      <c r="E20" s="42" t="s">
        <v>701</v>
      </c>
    </row>
    <row r="21" customFormat="false" ht="18.75" hidden="false" customHeight="true" outlineLevel="0" collapsed="false">
      <c r="A21" s="14" t="s">
        <v>702</v>
      </c>
      <c r="B21" s="41"/>
      <c r="C21" s="42" t="s">
        <v>703</v>
      </c>
      <c r="D21" s="42" t="s">
        <v>704</v>
      </c>
      <c r="E21" s="42" t="s">
        <v>705</v>
      </c>
    </row>
    <row r="22" customFormat="false" ht="18.75" hidden="false" customHeight="true" outlineLevel="0" collapsed="false">
      <c r="A22" s="14" t="s">
        <v>706</v>
      </c>
      <c r="B22" s="41"/>
      <c r="C22" s="42" t="s">
        <v>707</v>
      </c>
      <c r="D22" s="42" t="s">
        <v>708</v>
      </c>
      <c r="E22" s="42" t="s">
        <v>709</v>
      </c>
    </row>
    <row r="23" customFormat="false" ht="58.5" hidden="false" customHeight="true" outlineLevel="0" collapsed="false">
      <c r="A23" s="14" t="s">
        <v>710</v>
      </c>
      <c r="B23" s="41"/>
      <c r="C23" s="14" t="s">
        <v>711</v>
      </c>
      <c r="D23" s="14" t="s">
        <v>712</v>
      </c>
      <c r="E23" s="14" t="s">
        <v>713</v>
      </c>
    </row>
    <row r="24" customFormat="false" ht="58.5" hidden="false" customHeight="true" outlineLevel="0" collapsed="false">
      <c r="A24" s="14" t="s">
        <v>714</v>
      </c>
      <c r="B24" s="41"/>
      <c r="C24" s="14" t="s">
        <v>715</v>
      </c>
      <c r="D24" s="14" t="s">
        <v>716</v>
      </c>
      <c r="E24" s="14" t="s">
        <v>717</v>
      </c>
    </row>
    <row r="25" customFormat="false" ht="58.5" hidden="false" customHeight="true" outlineLevel="0" collapsed="false">
      <c r="A25" s="14" t="s">
        <v>718</v>
      </c>
      <c r="B25" s="41"/>
      <c r="C25" s="14" t="s">
        <v>719</v>
      </c>
      <c r="D25" s="14" t="s">
        <v>720</v>
      </c>
      <c r="E25" s="14" t="s">
        <v>721</v>
      </c>
    </row>
    <row r="26" customFormat="false" ht="45" hidden="false" customHeight="true" outlineLevel="0" collapsed="false">
      <c r="A26" s="14" t="s">
        <v>722</v>
      </c>
      <c r="B26" s="41"/>
      <c r="C26" s="14" t="s">
        <v>723</v>
      </c>
      <c r="D26" s="14" t="s">
        <v>724</v>
      </c>
      <c r="E26" s="14" t="s">
        <v>725</v>
      </c>
    </row>
    <row r="27" customFormat="false" ht="19.5" hidden="false" customHeight="true" outlineLevel="0" collapsed="false">
      <c r="A27" s="21" t="s">
        <v>326</v>
      </c>
      <c r="B27" s="4"/>
      <c r="C27" s="4"/>
      <c r="D27" s="4"/>
      <c r="E27" s="4"/>
    </row>
    <row r="28" customFormat="false" ht="45" hidden="false" customHeight="true" outlineLevel="0" collapsed="false">
      <c r="A28" s="14" t="s">
        <v>726</v>
      </c>
      <c r="B28" s="41"/>
      <c r="C28" s="14" t="s">
        <v>727</v>
      </c>
      <c r="D28" s="14" t="s">
        <v>728</v>
      </c>
      <c r="E28" s="14" t="s">
        <v>729</v>
      </c>
    </row>
    <row r="29" customFormat="false" ht="45" hidden="false" customHeight="true" outlineLevel="0" collapsed="false">
      <c r="A29" s="14" t="s">
        <v>730</v>
      </c>
      <c r="B29" s="41"/>
      <c r="C29" s="14" t="s">
        <v>731</v>
      </c>
      <c r="D29" s="14" t="s">
        <v>732</v>
      </c>
      <c r="E29" s="14" t="s">
        <v>733</v>
      </c>
    </row>
    <row r="30" customFormat="false" ht="45" hidden="false" customHeight="true" outlineLevel="0" collapsed="false">
      <c r="A30" s="14" t="s">
        <v>734</v>
      </c>
      <c r="B30" s="41"/>
      <c r="C30" s="14" t="s">
        <v>735</v>
      </c>
      <c r="D30" s="14" t="s">
        <v>736</v>
      </c>
      <c r="E30" s="14" t="s">
        <v>737</v>
      </c>
    </row>
    <row r="31" customFormat="false" ht="58.5" hidden="false" customHeight="true" outlineLevel="0" collapsed="false">
      <c r="A31" s="14" t="s">
        <v>401</v>
      </c>
      <c r="B31" s="41"/>
      <c r="C31" s="14" t="s">
        <v>738</v>
      </c>
      <c r="D31" s="42" t="s">
        <v>739</v>
      </c>
      <c r="E31" s="42" t="s">
        <v>740</v>
      </c>
    </row>
    <row r="32" customFormat="false" ht="19.5" hidden="false" customHeight="true" outlineLevel="0" collapsed="false">
      <c r="A32" s="21" t="s">
        <v>432</v>
      </c>
      <c r="B32" s="4"/>
      <c r="C32" s="4"/>
      <c r="D32" s="4"/>
      <c r="E32" s="4"/>
    </row>
    <row r="33" customFormat="false" ht="18.75" hidden="false" customHeight="true" outlineLevel="0" collapsed="false">
      <c r="A33" s="14" t="s">
        <v>433</v>
      </c>
      <c r="B33" s="41" t="s">
        <v>67</v>
      </c>
      <c r="C33" s="44" t="n">
        <v>0</v>
      </c>
      <c r="D33" s="44" t="n">
        <v>0</v>
      </c>
      <c r="E33" s="44" t="n">
        <v>0</v>
      </c>
    </row>
    <row r="34" customFormat="false" ht="18.75" hidden="false" customHeight="true" outlineLevel="0" collapsed="false">
      <c r="A34" s="14" t="s">
        <v>434</v>
      </c>
      <c r="B34" s="41" t="s">
        <v>435</v>
      </c>
      <c r="C34" s="45" t="n">
        <v>16</v>
      </c>
      <c r="D34" s="45" t="n">
        <v>22</v>
      </c>
      <c r="E34" s="45" t="n">
        <v>18</v>
      </c>
    </row>
    <row r="35" customFormat="false" ht="18.75" hidden="false" customHeight="true" outlineLevel="0" collapsed="false">
      <c r="A35" s="14" t="s">
        <v>741</v>
      </c>
      <c r="B35" s="41" t="s">
        <v>437</v>
      </c>
      <c r="C35" s="46" t="n">
        <v>12</v>
      </c>
      <c r="D35" s="46" t="n">
        <v>10</v>
      </c>
      <c r="E35" s="46" t="n">
        <v>10</v>
      </c>
    </row>
    <row r="36" customFormat="false" ht="18.75" hidden="false" customHeight="true" outlineLevel="0" collapsed="false">
      <c r="A36" s="14" t="s">
        <v>742</v>
      </c>
      <c r="B36" s="41" t="s">
        <v>437</v>
      </c>
      <c r="C36" s="46" t="n">
        <v>8</v>
      </c>
      <c r="D36" s="46" t="n">
        <v>10</v>
      </c>
      <c r="E36" s="46" t="n">
        <v>8</v>
      </c>
    </row>
    <row r="37" customFormat="false" ht="18.75" hidden="false" customHeight="true" outlineLevel="0" collapsed="false">
      <c r="A37" s="14" t="s">
        <v>743</v>
      </c>
      <c r="B37" s="41" t="s">
        <v>437</v>
      </c>
      <c r="C37" s="46" t="n">
        <v>15</v>
      </c>
      <c r="D37" s="46" t="n">
        <v>20</v>
      </c>
      <c r="E37" s="46" t="n">
        <v>17</v>
      </c>
    </row>
    <row r="38" customFormat="false" ht="18.75" hidden="false" customHeight="true" outlineLevel="0" collapsed="false">
      <c r="A38" s="14" t="s">
        <v>439</v>
      </c>
      <c r="B38" s="41" t="s">
        <v>67</v>
      </c>
      <c r="C38" s="44" t="n">
        <v>0</v>
      </c>
      <c r="D38" s="44" t="n">
        <v>0</v>
      </c>
      <c r="E38" s="44" t="n">
        <v>0</v>
      </c>
    </row>
    <row r="39" customFormat="false" ht="18.75" hidden="false" customHeight="true" outlineLevel="0" collapsed="false">
      <c r="A39" s="14" t="s">
        <v>744</v>
      </c>
      <c r="B39" s="41" t="s">
        <v>440</v>
      </c>
      <c r="C39" s="47" t="s">
        <v>441</v>
      </c>
      <c r="D39" s="47" t="s">
        <v>442</v>
      </c>
      <c r="E39" s="47" t="s">
        <v>442</v>
      </c>
    </row>
    <row r="40" customFormat="false" ht="18.75" hidden="false" customHeight="true" outlineLevel="0" collapsed="false">
      <c r="A40" s="14" t="s">
        <v>745</v>
      </c>
      <c r="B40" s="41" t="s">
        <v>440</v>
      </c>
      <c r="C40" s="47" t="s">
        <v>441</v>
      </c>
      <c r="D40" s="47" t="s">
        <v>441</v>
      </c>
      <c r="E40" s="47" t="s">
        <v>441</v>
      </c>
    </row>
    <row r="41" customFormat="false" ht="18.75" hidden="false" customHeight="true" outlineLevel="0" collapsed="false">
      <c r="A41" s="14" t="s">
        <v>746</v>
      </c>
      <c r="B41" s="41" t="s">
        <v>747</v>
      </c>
      <c r="C41" s="64" t="n">
        <v>0.2</v>
      </c>
      <c r="D41" s="64" t="n">
        <f aca="false">MIL_WearReduction</f>
        <v>0.2</v>
      </c>
      <c r="E41" s="64" t="n">
        <f aca="false">MIL_WearReduction</f>
        <v>0.2</v>
      </c>
    </row>
    <row r="42" customFormat="false" ht="19.5" hidden="false" customHeight="true" outlineLevel="0" collapsed="false">
      <c r="A42" s="21" t="s">
        <v>748</v>
      </c>
      <c r="B42" s="4"/>
      <c r="C42" s="4"/>
      <c r="D42" s="4"/>
      <c r="E42" s="4"/>
    </row>
    <row r="43" customFormat="false" ht="18.75" hidden="false" customHeight="true" outlineLevel="0" collapsed="false">
      <c r="A43" s="14" t="s">
        <v>749</v>
      </c>
      <c r="B43" s="41" t="s">
        <v>446</v>
      </c>
      <c r="C43" s="48" t="n">
        <v>92</v>
      </c>
      <c r="D43" s="48" t="n">
        <v>0</v>
      </c>
      <c r="E43" s="48" t="n">
        <v>84</v>
      </c>
    </row>
    <row r="44" customFormat="false" ht="18.75" hidden="false" customHeight="true" outlineLevel="0" collapsed="false">
      <c r="A44" s="14" t="s">
        <v>750</v>
      </c>
      <c r="B44" s="41" t="s">
        <v>751</v>
      </c>
      <c r="C44" s="48" t="n">
        <v>40</v>
      </c>
      <c r="D44" s="48" t="n">
        <v>35</v>
      </c>
      <c r="E44" s="48" t="n">
        <v>50</v>
      </c>
    </row>
    <row r="45" customFormat="false" ht="18.75" hidden="false" customHeight="true" outlineLevel="0" collapsed="false">
      <c r="A45" s="14" t="s">
        <v>752</v>
      </c>
      <c r="B45" s="41" t="s">
        <v>753</v>
      </c>
      <c r="C45" s="65" t="n">
        <v>0.38</v>
      </c>
      <c r="D45" s="65" t="n">
        <v>1.2</v>
      </c>
      <c r="E45" s="65" t="s">
        <v>754</v>
      </c>
    </row>
    <row r="46" customFormat="false" ht="18.75" hidden="false" customHeight="true" outlineLevel="0" collapsed="false">
      <c r="A46" s="14" t="s">
        <v>453</v>
      </c>
      <c r="B46" s="41" t="s">
        <v>61</v>
      </c>
      <c r="C46" s="49" t="n">
        <f aca="false">IF(AND(MIL_Volume&gt;0,C43&gt;0),MIL_Volume/C43,0)</f>
        <v>0</v>
      </c>
      <c r="D46" s="49" t="n">
        <f aca="false">IF(AND(MIL_Volume&gt;0,D43&gt;0),MIL_Volume/D43,0)</f>
        <v>0</v>
      </c>
      <c r="E46" s="49" t="n">
        <f aca="false">IF(AND(MIL_Volume&gt;0,E43&gt;0),MIL_Volume/E43,0)</f>
        <v>0</v>
      </c>
    </row>
    <row r="47" customFormat="false" ht="19.5" hidden="false" customHeight="true" outlineLevel="0" collapsed="false">
      <c r="A47" s="21" t="s">
        <v>755</v>
      </c>
      <c r="B47" s="4"/>
      <c r="C47" s="4"/>
      <c r="D47" s="4"/>
      <c r="E47" s="4"/>
    </row>
    <row r="48" customFormat="false" ht="18.75" hidden="false" customHeight="true" outlineLevel="0" collapsed="false">
      <c r="A48" s="14" t="s">
        <v>756</v>
      </c>
      <c r="B48" s="41" t="s">
        <v>757</v>
      </c>
      <c r="C48" s="66" t="n">
        <f aca="false">IF(AND(C39="YES",C40="YES"),1-C41,1)</f>
        <v>0.8</v>
      </c>
      <c r="D48" s="66" t="n">
        <f aca="false">IF(AND(D39="YES",D40="YES"),1-D41,1)</f>
        <v>1</v>
      </c>
      <c r="E48" s="66" t="n">
        <f aca="false">IF(AND(E39="YES",E40="YES"),1-E41,1)</f>
        <v>1</v>
      </c>
    </row>
    <row r="49" customFormat="false" ht="32.25" hidden="false" customHeight="true" outlineLevel="0" collapsed="false">
      <c r="A49" s="14" t="s">
        <v>758</v>
      </c>
      <c r="B49" s="41" t="s">
        <v>437</v>
      </c>
      <c r="C49" s="50" t="n">
        <f aca="false">C35*C48</f>
        <v>9.6</v>
      </c>
      <c r="D49" s="50" t="n">
        <f aca="false">D35*D48</f>
        <v>10</v>
      </c>
      <c r="E49" s="50" t="n">
        <f aca="false">E35*E48</f>
        <v>10</v>
      </c>
    </row>
    <row r="50" customFormat="false" ht="32.25" hidden="false" customHeight="true" outlineLevel="0" collapsed="false">
      <c r="A50" s="14" t="s">
        <v>759</v>
      </c>
      <c r="B50" s="41" t="s">
        <v>437</v>
      </c>
      <c r="C50" s="50" t="n">
        <f aca="false">C36*C48</f>
        <v>6.4</v>
      </c>
      <c r="D50" s="50" t="n">
        <f aca="false">D36*D48</f>
        <v>10</v>
      </c>
      <c r="E50" s="50" t="n">
        <f aca="false">E36*E48</f>
        <v>8</v>
      </c>
    </row>
    <row r="51" customFormat="false" ht="18.75" hidden="false" customHeight="true" outlineLevel="0" collapsed="false">
      <c r="A51" s="14" t="s">
        <v>760</v>
      </c>
      <c r="B51" s="41" t="s">
        <v>437</v>
      </c>
      <c r="C51" s="50" t="n">
        <f aca="false">C37*C48</f>
        <v>12</v>
      </c>
      <c r="D51" s="50" t="n">
        <f aca="false">D37*D48</f>
        <v>20</v>
      </c>
      <c r="E51" s="50" t="n">
        <f aca="false">E37*E48</f>
        <v>17</v>
      </c>
    </row>
    <row r="52" customFormat="false" ht="19.5" hidden="false" customHeight="true" outlineLevel="0" collapsed="false">
      <c r="A52" s="21" t="s">
        <v>456</v>
      </c>
      <c r="B52" s="4"/>
      <c r="C52" s="4"/>
      <c r="D52" s="4"/>
      <c r="E52" s="4"/>
    </row>
    <row r="53" customFormat="false" ht="18.75" hidden="false" customHeight="true" outlineLevel="0" collapsed="false">
      <c r="A53" s="14" t="s">
        <v>457</v>
      </c>
      <c r="B53" s="41" t="s">
        <v>67</v>
      </c>
      <c r="C53" s="51" t="n">
        <f aca="false">C34*OperatingHours*DieselPrice</f>
        <v>57600</v>
      </c>
      <c r="D53" s="51" t="n">
        <f aca="false">D34*OperatingHours*DieselPrice</f>
        <v>79200</v>
      </c>
      <c r="E53" s="51" t="n">
        <f aca="false">E34*OperatingHours*DieselPrice</f>
        <v>64800</v>
      </c>
    </row>
    <row r="54" customFormat="false" ht="18.75" hidden="false" customHeight="true" outlineLevel="0" collapsed="false">
      <c r="A54" s="14" t="s">
        <v>458</v>
      </c>
      <c r="B54" s="41" t="s">
        <v>67</v>
      </c>
      <c r="C54" s="51" t="n">
        <f aca="false">OperatingHours*(C49+C50)</f>
        <v>48000</v>
      </c>
      <c r="D54" s="51" t="n">
        <f aca="false">OperatingHours*(D49+D50)</f>
        <v>60000</v>
      </c>
      <c r="E54" s="51" t="n">
        <f aca="false">OperatingHours*(E49+E50)</f>
        <v>54000</v>
      </c>
    </row>
    <row r="55" customFormat="false" ht="18.75" hidden="false" customHeight="true" outlineLevel="0" collapsed="false">
      <c r="A55" s="14" t="s">
        <v>761</v>
      </c>
      <c r="B55" s="41" t="s">
        <v>67</v>
      </c>
      <c r="C55" s="51" t="n">
        <f aca="false">C51*OperatingHours</f>
        <v>36000</v>
      </c>
      <c r="D55" s="51" t="n">
        <f aca="false">D51*OperatingHours</f>
        <v>60000</v>
      </c>
      <c r="E55" s="51" t="n">
        <f aca="false">E51*OperatingHours</f>
        <v>51000</v>
      </c>
    </row>
    <row r="56" customFormat="false" ht="19.5" hidden="false" customHeight="true" outlineLevel="0" collapsed="false">
      <c r="A56" s="21" t="s">
        <v>462</v>
      </c>
      <c r="B56" s="4"/>
      <c r="C56" s="4"/>
      <c r="D56" s="4"/>
      <c r="E56" s="4"/>
    </row>
    <row r="57" customFormat="false" ht="18.75" hidden="false" customHeight="true" outlineLevel="0" collapsed="false">
      <c r="A57" s="52" t="s">
        <v>463</v>
      </c>
      <c r="B57" s="53" t="s">
        <v>67</v>
      </c>
      <c r="C57" s="54" t="n">
        <f aca="false">C33+C53+C54+C55-C38</f>
        <v>141600</v>
      </c>
      <c r="D57" s="54" t="n">
        <f aca="false">D33+D53+D54+D55-D38</f>
        <v>199200</v>
      </c>
      <c r="E57" s="54" t="n">
        <f aca="false">E33+E53+E54+E55-E38</f>
        <v>169800</v>
      </c>
    </row>
    <row r="58" customFormat="false" ht="18.75" hidden="false" customHeight="true" outlineLevel="0" collapsed="false">
      <c r="A58" s="14" t="s">
        <v>464</v>
      </c>
      <c r="B58" s="41" t="s">
        <v>437</v>
      </c>
      <c r="C58" s="50" t="n">
        <f aca="false">C34*DieselPrice+C49+C50+C51</f>
        <v>47.2</v>
      </c>
      <c r="D58" s="50" t="n">
        <f aca="false">D34*DieselPrice+D49+D50+D51</f>
        <v>66.4</v>
      </c>
      <c r="E58" s="50" t="n">
        <f aca="false">E34*DieselPrice+E49+E50+E51</f>
        <v>56.6</v>
      </c>
    </row>
    <row r="59" customFormat="false" ht="18.75" hidden="false" customHeight="true" outlineLevel="0" collapsed="false">
      <c r="A59" s="14" t="s">
        <v>465</v>
      </c>
      <c r="B59" s="41" t="s">
        <v>437</v>
      </c>
      <c r="C59" s="50" t="n">
        <f aca="false">IF(OperatingHours&gt;0,C57/OperatingHours,0)</f>
        <v>47.2</v>
      </c>
      <c r="D59" s="50" t="n">
        <f aca="false">IF(OperatingHours&gt;0,D57/OperatingHours,0)</f>
        <v>66.4</v>
      </c>
      <c r="E59" s="50" t="n">
        <f aca="false">IF(OperatingHours&gt;0,E57/OperatingHours,0)</f>
        <v>56.6</v>
      </c>
    </row>
    <row r="60" customFormat="false" ht="18.75" hidden="false" customHeight="true" outlineLevel="0" collapsed="false">
      <c r="A60" s="14" t="s">
        <v>466</v>
      </c>
      <c r="B60" s="41"/>
      <c r="C60" s="43" t="n">
        <f aca="false">C57*CurrencyRate</f>
        <v>141600</v>
      </c>
      <c r="D60" s="43" t="n">
        <f aca="false">D57*CurrencyRate</f>
        <v>199200</v>
      </c>
      <c r="E60" s="43" t="n">
        <f aca="false">E57*CurrencyRate</f>
        <v>169800</v>
      </c>
    </row>
    <row r="61" customFormat="false" ht="18.75" hidden="false" customHeight="true" outlineLevel="0" collapsed="false">
      <c r="A61" s="14" t="s">
        <v>467</v>
      </c>
      <c r="B61" s="41" t="s">
        <v>67</v>
      </c>
      <c r="C61" s="51" t="n">
        <f aca="false">IFERROR(C57-INDEX($C$57:$E$57,MATCH(MIL_Ref,$C$7:$E$7,0)),0)</f>
        <v>0</v>
      </c>
      <c r="D61" s="51" t="n">
        <f aca="false">IFERROR(D57-INDEX($C$57:$E$57,MATCH(MIL_Ref,$C$7:$E$7,0)),0)</f>
        <v>57600</v>
      </c>
      <c r="E61" s="51" t="n">
        <f aca="false">IFERROR(E57-INDEX($C$57:$E$57,MATCH(MIL_Ref,$C$7:$E$7,0)),0)</f>
        <v>28200</v>
      </c>
    </row>
    <row r="62" customFormat="false" ht="19.5" hidden="false" customHeight="true" outlineLevel="0" collapsed="false">
      <c r="A62" s="21" t="s">
        <v>478</v>
      </c>
      <c r="B62" s="4"/>
      <c r="C62" s="4"/>
      <c r="D62" s="4"/>
      <c r="E62" s="4"/>
    </row>
    <row r="63" customFormat="false" ht="15" hidden="false" customHeight="false" outlineLevel="0" collapsed="false">
      <c r="A63" s="14" t="s">
        <v>479</v>
      </c>
      <c r="B63" s="55" t="n">
        <v>0</v>
      </c>
      <c r="C63" s="56" t="n">
        <f aca="false">C$33+$B63*C$58-C$38</f>
        <v>0</v>
      </c>
      <c r="D63" s="56" t="n">
        <f aca="false">D$33+$B63*D$58-D$38</f>
        <v>0</v>
      </c>
      <c r="E63" s="56" t="n">
        <f aca="false">E$33+$B63*E$58-E$38</f>
        <v>0</v>
      </c>
    </row>
    <row r="64" customFormat="false" ht="15" hidden="false" customHeight="false" outlineLevel="0" collapsed="false">
      <c r="A64" s="14" t="s">
        <v>479</v>
      </c>
      <c r="B64" s="55" t="n">
        <v>1000</v>
      </c>
      <c r="C64" s="56" t="n">
        <f aca="false">C$33+$B64*C$58-C$38</f>
        <v>47200</v>
      </c>
      <c r="D64" s="56" t="n">
        <f aca="false">D$33+$B64*D$58-D$38</f>
        <v>66400</v>
      </c>
      <c r="E64" s="56" t="n">
        <f aca="false">E$33+$B64*E$58-E$38</f>
        <v>56600</v>
      </c>
    </row>
    <row r="65" customFormat="false" ht="15" hidden="false" customHeight="false" outlineLevel="0" collapsed="false">
      <c r="A65" s="14" t="s">
        <v>479</v>
      </c>
      <c r="B65" s="55" t="n">
        <v>1500</v>
      </c>
      <c r="C65" s="56" t="n">
        <f aca="false">C$33+$B65*C$58-C$38</f>
        <v>70800</v>
      </c>
      <c r="D65" s="56" t="n">
        <f aca="false">D$33+$B65*D$58-D$38</f>
        <v>99600</v>
      </c>
      <c r="E65" s="56" t="n">
        <f aca="false">E$33+$B65*E$58-E$38</f>
        <v>84900</v>
      </c>
    </row>
    <row r="66" customFormat="false" ht="15" hidden="false" customHeight="false" outlineLevel="0" collapsed="false">
      <c r="A66" s="14" t="s">
        <v>479</v>
      </c>
      <c r="B66" s="55" t="n">
        <v>2000</v>
      </c>
      <c r="C66" s="56" t="n">
        <f aca="false">C$33+$B66*C$58-C$38</f>
        <v>94400</v>
      </c>
      <c r="D66" s="56" t="n">
        <f aca="false">D$33+$B66*D$58-D$38</f>
        <v>132800</v>
      </c>
      <c r="E66" s="56" t="n">
        <f aca="false">E$33+$B66*E$58-E$38</f>
        <v>113200</v>
      </c>
    </row>
    <row r="67" customFormat="false" ht="15" hidden="false" customHeight="false" outlineLevel="0" collapsed="false">
      <c r="A67" s="14" t="s">
        <v>479</v>
      </c>
      <c r="B67" s="55" t="n">
        <v>2500</v>
      </c>
      <c r="C67" s="56" t="n">
        <f aca="false">C$33+$B67*C$58-C$38</f>
        <v>118000</v>
      </c>
      <c r="D67" s="56" t="n">
        <f aca="false">D$33+$B67*D$58-D$38</f>
        <v>166000</v>
      </c>
      <c r="E67" s="56" t="n">
        <f aca="false">E$33+$B67*E$58-E$38</f>
        <v>141500</v>
      </c>
    </row>
    <row r="68" customFormat="false" ht="15" hidden="false" customHeight="false" outlineLevel="0" collapsed="false">
      <c r="A68" s="14" t="s">
        <v>479</v>
      </c>
      <c r="B68" s="55" t="n">
        <v>3000</v>
      </c>
      <c r="C68" s="56" t="n">
        <f aca="false">C$33+$B68*C$58-C$38</f>
        <v>141600</v>
      </c>
      <c r="D68" s="56" t="n">
        <f aca="false">D$33+$B68*D$58-D$38</f>
        <v>199200</v>
      </c>
      <c r="E68" s="56" t="n">
        <f aca="false">E$33+$B68*E$58-E$38</f>
        <v>169800</v>
      </c>
    </row>
    <row r="69" customFormat="false" ht="15" hidden="false" customHeight="false" outlineLevel="0" collapsed="false">
      <c r="A69" s="14" t="s">
        <v>479</v>
      </c>
      <c r="B69" s="55" t="n">
        <v>4000</v>
      </c>
      <c r="C69" s="56" t="n">
        <f aca="false">C$33+$B69*C$58-C$38</f>
        <v>188800</v>
      </c>
      <c r="D69" s="56" t="n">
        <f aca="false">D$33+$B69*D$58-D$38</f>
        <v>265600</v>
      </c>
      <c r="E69" s="56" t="n">
        <f aca="false">E$33+$B69*E$58-E$38</f>
        <v>226400</v>
      </c>
    </row>
    <row r="70" customFormat="false" ht="15" hidden="false" customHeight="false" outlineLevel="0" collapsed="false">
      <c r="A70" s="14" t="s">
        <v>479</v>
      </c>
      <c r="B70" s="55" t="n">
        <v>5000</v>
      </c>
      <c r="C70" s="56" t="n">
        <f aca="false">C$33+$B70*C$58-C$38</f>
        <v>236000</v>
      </c>
      <c r="D70" s="56" t="n">
        <f aca="false">D$33+$B70*D$58-D$38</f>
        <v>332000</v>
      </c>
      <c r="E70" s="56" t="n">
        <f aca="false">E$33+$B70*E$58-E$38</f>
        <v>283000</v>
      </c>
    </row>
    <row r="71" customFormat="false" ht="15" hidden="false" customHeight="false" outlineLevel="0" collapsed="false">
      <c r="A71" s="14" t="s">
        <v>479</v>
      </c>
      <c r="B71" s="55" t="n">
        <v>6000</v>
      </c>
      <c r="C71" s="56" t="n">
        <f aca="false">C$33+$B71*C$58-C$38</f>
        <v>283200</v>
      </c>
      <c r="D71" s="56" t="n">
        <f aca="false">D$33+$B71*D$58-D$38</f>
        <v>398400</v>
      </c>
      <c r="E71" s="56" t="n">
        <f aca="false">E$33+$B71*E$58-E$38</f>
        <v>339600</v>
      </c>
    </row>
    <row r="72" customFormat="false" ht="15" hidden="false" customHeight="false" outlineLevel="0" collapsed="false">
      <c r="A72" s="14" t="s">
        <v>479</v>
      </c>
      <c r="B72" s="55" t="n">
        <v>7000</v>
      </c>
      <c r="C72" s="56" t="n">
        <f aca="false">C$33+$B72*C$58-C$38</f>
        <v>330400</v>
      </c>
      <c r="D72" s="56" t="n">
        <f aca="false">D$33+$B72*D$58-D$38</f>
        <v>464800</v>
      </c>
      <c r="E72" s="56" t="n">
        <f aca="false">E$33+$B72*E$58-E$38</f>
        <v>396200</v>
      </c>
    </row>
    <row r="73" customFormat="false" ht="15" hidden="false" customHeight="false" outlineLevel="0" collapsed="false">
      <c r="A73" s="14" t="s">
        <v>479</v>
      </c>
      <c r="B73" s="55" t="n">
        <v>8000</v>
      </c>
      <c r="C73" s="56" t="n">
        <f aca="false">C$33+$B73*C$58-C$38</f>
        <v>377600</v>
      </c>
      <c r="D73" s="56" t="n">
        <f aca="false">D$33+$B73*D$58-D$38</f>
        <v>531200</v>
      </c>
      <c r="E73" s="56" t="n">
        <f aca="false">E$33+$B73*E$58-E$38</f>
        <v>452800</v>
      </c>
    </row>
    <row r="74" customFormat="false" ht="15" hidden="false" customHeight="false" outlineLevel="0" collapsed="false">
      <c r="A74" s="14" t="s">
        <v>479</v>
      </c>
      <c r="B74" s="55" t="n">
        <v>9000</v>
      </c>
      <c r="C74" s="56" t="n">
        <f aca="false">C$33+$B74*C$58-C$38</f>
        <v>424800</v>
      </c>
      <c r="D74" s="56" t="n">
        <f aca="false">D$33+$B74*D$58-D$38</f>
        <v>597600</v>
      </c>
      <c r="E74" s="56" t="n">
        <f aca="false">E$33+$B74*E$58-E$38</f>
        <v>509400</v>
      </c>
    </row>
    <row r="75" customFormat="false" ht="15" hidden="false" customHeight="false" outlineLevel="0" collapsed="false">
      <c r="A75" s="14" t="s">
        <v>479</v>
      </c>
      <c r="B75" s="55" t="n">
        <v>10000</v>
      </c>
      <c r="C75" s="56" t="n">
        <f aca="false">C$33+$B75*C$58-C$38</f>
        <v>472000</v>
      </c>
      <c r="D75" s="56" t="n">
        <f aca="false">D$33+$B75*D$58-D$38</f>
        <v>664000</v>
      </c>
      <c r="E75" s="56" t="n">
        <f aca="false">E$33+$B75*E$58-E$38</f>
        <v>566000</v>
      </c>
    </row>
    <row r="77" customFormat="false" ht="15" hidden="false" customHeight="false" outlineLevel="0" collapsed="false">
      <c r="A77" s="57" t="s">
        <v>762</v>
      </c>
      <c r="B77" s="4"/>
      <c r="C77" s="4"/>
      <c r="D77" s="4"/>
      <c r="E77" s="4"/>
      <c r="F77" s="4"/>
      <c r="G77" s="4"/>
      <c r="H77" s="4"/>
      <c r="I77" s="4"/>
      <c r="J77" s="4"/>
      <c r="K77" s="4"/>
      <c r="L77" s="4"/>
      <c r="M77" s="4"/>
    </row>
    <row r="78" customFormat="false" ht="30" hidden="false" customHeight="true" outlineLevel="0" collapsed="false">
      <c r="A78" s="9" t="s">
        <v>763</v>
      </c>
      <c r="B78" s="10" t="s">
        <v>764</v>
      </c>
      <c r="C78" s="10" t="s">
        <v>30</v>
      </c>
      <c r="D78" s="10" t="s">
        <v>765</v>
      </c>
      <c r="E78" s="10" t="s">
        <v>766</v>
      </c>
      <c r="F78" s="10" t="s">
        <v>767</v>
      </c>
      <c r="G78" s="10" t="s">
        <v>768</v>
      </c>
      <c r="H78" s="10" t="s">
        <v>55</v>
      </c>
      <c r="I78" s="10" t="s">
        <v>769</v>
      </c>
      <c r="J78" s="10" t="s">
        <v>770</v>
      </c>
      <c r="K78" s="10" t="s">
        <v>771</v>
      </c>
      <c r="L78" s="10" t="s">
        <v>772</v>
      </c>
      <c r="M78" s="10" t="s">
        <v>773</v>
      </c>
    </row>
    <row r="79" customFormat="false" ht="23.85" hidden="false" customHeight="false" outlineLevel="0" collapsed="false">
      <c r="A79" s="14" t="s">
        <v>774</v>
      </c>
      <c r="B79" s="62" t="s">
        <v>775</v>
      </c>
      <c r="C79" s="14" t="s">
        <v>776</v>
      </c>
      <c r="D79" s="14" t="s">
        <v>777</v>
      </c>
      <c r="E79" s="62" t="s">
        <v>778</v>
      </c>
      <c r="F79" s="62" t="s">
        <v>779</v>
      </c>
      <c r="G79" s="67" t="n">
        <v>16</v>
      </c>
      <c r="H79" s="62" t="s">
        <v>780</v>
      </c>
      <c r="I79" s="68" t="n">
        <v>80</v>
      </c>
      <c r="J79" s="69" t="n">
        <f aca="false">G79*I79</f>
        <v>1280</v>
      </c>
      <c r="K79" s="70" t="n">
        <v>250</v>
      </c>
      <c r="L79" s="71" t="n">
        <f aca="false">INT(OperatingHours/K79)</f>
        <v>12</v>
      </c>
      <c r="M79" s="59" t="n">
        <f aca="false">J79*L79</f>
        <v>15360</v>
      </c>
    </row>
    <row r="80" customFormat="false" ht="15" hidden="false" customHeight="false" outlineLevel="0" collapsed="false">
      <c r="A80" s="14" t="s">
        <v>774</v>
      </c>
      <c r="B80" s="62" t="s">
        <v>775</v>
      </c>
      <c r="C80" s="14" t="s">
        <v>781</v>
      </c>
      <c r="D80" s="14" t="s">
        <v>782</v>
      </c>
      <c r="E80" s="62" t="s">
        <v>783</v>
      </c>
      <c r="F80" s="62" t="s">
        <v>784</v>
      </c>
      <c r="G80" s="67" t="n">
        <v>1</v>
      </c>
      <c r="H80" s="62" t="s">
        <v>785</v>
      </c>
      <c r="I80" s="68" t="n">
        <v>120</v>
      </c>
      <c r="J80" s="69" t="n">
        <f aca="false">G80*I80</f>
        <v>120</v>
      </c>
      <c r="K80" s="70" t="n">
        <v>250</v>
      </c>
      <c r="L80" s="71" t="n">
        <f aca="false">INT(OperatingHours/K80)</f>
        <v>12</v>
      </c>
      <c r="M80" s="59" t="n">
        <f aca="false">J80*L80</f>
        <v>1440</v>
      </c>
    </row>
    <row r="81" customFormat="false" ht="23.85" hidden="false" customHeight="false" outlineLevel="0" collapsed="false">
      <c r="A81" s="14" t="s">
        <v>786</v>
      </c>
      <c r="B81" s="62" t="s">
        <v>787</v>
      </c>
      <c r="C81" s="14" t="s">
        <v>788</v>
      </c>
      <c r="D81" s="14" t="s">
        <v>789</v>
      </c>
      <c r="E81" s="62" t="s">
        <v>790</v>
      </c>
      <c r="F81" s="62" t="s">
        <v>791</v>
      </c>
      <c r="G81" s="67" t="n">
        <v>3.6</v>
      </c>
      <c r="H81" s="62" t="s">
        <v>780</v>
      </c>
      <c r="I81" s="68" t="n">
        <v>45</v>
      </c>
      <c r="J81" s="69" t="n">
        <f aca="false">G81*I81</f>
        <v>162</v>
      </c>
      <c r="K81" s="70" t="n">
        <v>500</v>
      </c>
      <c r="L81" s="71" t="n">
        <f aca="false">INT(OperatingHours/K81)</f>
        <v>6</v>
      </c>
      <c r="M81" s="59" t="n">
        <f aca="false">J81*L81</f>
        <v>972</v>
      </c>
    </row>
    <row r="82" customFormat="false" ht="23.85" hidden="false" customHeight="false" outlineLevel="0" collapsed="false">
      <c r="A82" s="14" t="s">
        <v>786</v>
      </c>
      <c r="B82" s="62" t="s">
        <v>787</v>
      </c>
      <c r="C82" s="14" t="s">
        <v>792</v>
      </c>
      <c r="D82" s="14" t="s">
        <v>789</v>
      </c>
      <c r="E82" s="62" t="s">
        <v>790</v>
      </c>
      <c r="F82" s="62" t="s">
        <v>784</v>
      </c>
      <c r="G82" s="67" t="n">
        <v>1</v>
      </c>
      <c r="H82" s="62" t="s">
        <v>780</v>
      </c>
      <c r="I82" s="68" t="n">
        <v>52</v>
      </c>
      <c r="J82" s="69" t="n">
        <f aca="false">G82*I82</f>
        <v>52</v>
      </c>
      <c r="K82" s="70" t="n">
        <v>500</v>
      </c>
      <c r="L82" s="71" t="n">
        <f aca="false">INT(OperatingHours/K82)</f>
        <v>6</v>
      </c>
      <c r="M82" s="59" t="n">
        <f aca="false">J82*L82</f>
        <v>312</v>
      </c>
    </row>
    <row r="83" customFormat="false" ht="23.85" hidden="false" customHeight="false" outlineLevel="0" collapsed="false">
      <c r="A83" s="14" t="s">
        <v>786</v>
      </c>
      <c r="B83" s="62" t="s">
        <v>787</v>
      </c>
      <c r="C83" s="14" t="s">
        <v>793</v>
      </c>
      <c r="D83" s="14" t="s">
        <v>794</v>
      </c>
      <c r="E83" s="62" t="s">
        <v>795</v>
      </c>
      <c r="F83" s="62" t="s">
        <v>784</v>
      </c>
      <c r="G83" s="67" t="n">
        <v>1</v>
      </c>
      <c r="H83" s="62" t="s">
        <v>785</v>
      </c>
      <c r="I83" s="68" t="n">
        <v>253.24</v>
      </c>
      <c r="J83" s="69" t="n">
        <f aca="false">G83*I83</f>
        <v>253.24</v>
      </c>
      <c r="K83" s="70" t="n">
        <v>500</v>
      </c>
      <c r="L83" s="71" t="n">
        <f aca="false">INT(OperatingHours/K83)</f>
        <v>6</v>
      </c>
      <c r="M83" s="59" t="n">
        <f aca="false">J83*L83</f>
        <v>1519.44</v>
      </c>
    </row>
    <row r="84" customFormat="false" ht="23.85" hidden="false" customHeight="false" outlineLevel="0" collapsed="false">
      <c r="A84" s="14" t="s">
        <v>796</v>
      </c>
      <c r="B84" s="62" t="s">
        <v>797</v>
      </c>
      <c r="C84" s="14" t="s">
        <v>798</v>
      </c>
      <c r="D84" s="14" t="s">
        <v>799</v>
      </c>
      <c r="E84" s="62" t="s">
        <v>800</v>
      </c>
      <c r="F84" s="62" t="s">
        <v>784</v>
      </c>
      <c r="G84" s="67" t="n">
        <v>1</v>
      </c>
      <c r="H84" s="62" t="s">
        <v>785</v>
      </c>
      <c r="I84" s="68" t="n">
        <v>185</v>
      </c>
      <c r="J84" s="69" t="n">
        <f aca="false">G84*I84</f>
        <v>185</v>
      </c>
      <c r="K84" s="70" t="n">
        <v>1000</v>
      </c>
      <c r="L84" s="71" t="n">
        <f aca="false">INT(OperatingHours/K84)</f>
        <v>3</v>
      </c>
      <c r="M84" s="59" t="n">
        <f aca="false">J84*L84</f>
        <v>555</v>
      </c>
    </row>
    <row r="85" customFormat="false" ht="23.85" hidden="false" customHeight="false" outlineLevel="0" collapsed="false">
      <c r="A85" s="14" t="s">
        <v>796</v>
      </c>
      <c r="B85" s="62" t="s">
        <v>797</v>
      </c>
      <c r="C85" s="14" t="s">
        <v>801</v>
      </c>
      <c r="D85" s="14" t="s">
        <v>802</v>
      </c>
      <c r="E85" s="62" t="s">
        <v>803</v>
      </c>
      <c r="F85" s="62" t="s">
        <v>784</v>
      </c>
      <c r="G85" s="67" t="n">
        <v>1</v>
      </c>
      <c r="H85" s="62" t="s">
        <v>785</v>
      </c>
      <c r="I85" s="68" t="n">
        <v>628</v>
      </c>
      <c r="J85" s="69" t="n">
        <f aca="false">G85*I85</f>
        <v>628</v>
      </c>
      <c r="K85" s="70" t="n">
        <v>1000</v>
      </c>
      <c r="L85" s="71" t="n">
        <f aca="false">INT(OperatingHours/K85)</f>
        <v>3</v>
      </c>
      <c r="M85" s="59" t="n">
        <f aca="false">J85*L85</f>
        <v>1884</v>
      </c>
    </row>
    <row r="86" customFormat="false" ht="15" hidden="false" customHeight="false" outlineLevel="0" collapsed="false">
      <c r="A86" s="14" t="s">
        <v>804</v>
      </c>
      <c r="B86" s="62" t="s">
        <v>805</v>
      </c>
      <c r="C86" s="14" t="s">
        <v>806</v>
      </c>
      <c r="D86" s="14" t="s">
        <v>807</v>
      </c>
      <c r="E86" s="62" t="s">
        <v>808</v>
      </c>
      <c r="F86" s="62" t="s">
        <v>784</v>
      </c>
      <c r="G86" s="67" t="n">
        <v>1</v>
      </c>
      <c r="H86" s="62" t="s">
        <v>785</v>
      </c>
      <c r="I86" s="68" t="n">
        <v>95</v>
      </c>
      <c r="J86" s="69" t="n">
        <f aca="false">G86*I86</f>
        <v>95</v>
      </c>
      <c r="K86" s="70" t="n">
        <v>1500</v>
      </c>
      <c r="L86" s="71" t="n">
        <f aca="false">INT(OperatingHours/K86)</f>
        <v>2</v>
      </c>
      <c r="M86" s="59" t="n">
        <f aca="false">J86*L86</f>
        <v>190</v>
      </c>
    </row>
    <row r="87" customFormat="false" ht="15" hidden="false" customHeight="false" outlineLevel="0" collapsed="false">
      <c r="A87" s="14" t="s">
        <v>809</v>
      </c>
      <c r="B87" s="62" t="s">
        <v>810</v>
      </c>
      <c r="C87" s="14" t="s">
        <v>811</v>
      </c>
      <c r="D87" s="14" t="s">
        <v>812</v>
      </c>
      <c r="E87" s="62" t="s">
        <v>813</v>
      </c>
      <c r="F87" s="62" t="s">
        <v>814</v>
      </c>
      <c r="G87" s="67" t="n">
        <v>24</v>
      </c>
      <c r="H87" s="62" t="s">
        <v>780</v>
      </c>
      <c r="I87" s="68" t="n">
        <v>12</v>
      </c>
      <c r="J87" s="69" t="n">
        <f aca="false">G87*I87</f>
        <v>288</v>
      </c>
      <c r="K87" s="70" t="n">
        <v>2000</v>
      </c>
      <c r="L87" s="71" t="n">
        <f aca="false">INT(OperatingHours/K87)</f>
        <v>1</v>
      </c>
      <c r="M87" s="59" t="n">
        <f aca="false">J87*L87</f>
        <v>288</v>
      </c>
    </row>
    <row r="88" customFormat="false" ht="23.85" hidden="false" customHeight="false" outlineLevel="0" collapsed="false">
      <c r="A88" s="14" t="s">
        <v>815</v>
      </c>
      <c r="B88" s="62" t="s">
        <v>816</v>
      </c>
      <c r="C88" s="14" t="s">
        <v>817</v>
      </c>
      <c r="D88" s="14" t="s">
        <v>818</v>
      </c>
      <c r="E88" s="62" t="s">
        <v>819</v>
      </c>
      <c r="F88" s="62" t="s">
        <v>820</v>
      </c>
      <c r="G88" s="67" t="n">
        <v>120</v>
      </c>
      <c r="H88" s="62" t="s">
        <v>780</v>
      </c>
      <c r="I88" s="68" t="n">
        <v>8.5</v>
      </c>
      <c r="J88" s="69" t="n">
        <f aca="false">G88*I88</f>
        <v>1020</v>
      </c>
      <c r="K88" s="70" t="n">
        <v>4500</v>
      </c>
      <c r="L88" s="71" t="n">
        <f aca="false">INT(OperatingHours/K88)</f>
        <v>0</v>
      </c>
      <c r="M88" s="59" t="n">
        <f aca="false">J88*L88</f>
        <v>0</v>
      </c>
    </row>
    <row r="89" customFormat="false" ht="15" hidden="false" customHeight="false" outlineLevel="0" collapsed="false">
      <c r="A89" s="35" t="s">
        <v>821</v>
      </c>
      <c r="B89" s="36"/>
      <c r="C89" s="36"/>
      <c r="D89" s="36"/>
      <c r="E89" s="36"/>
      <c r="F89" s="36"/>
      <c r="G89" s="36"/>
      <c r="H89" s="36"/>
      <c r="I89" s="36"/>
      <c r="J89" s="36"/>
      <c r="K89" s="36"/>
      <c r="L89" s="36"/>
      <c r="M89" s="60" t="n">
        <f aca="false">SUM(M79:M88)</f>
        <v>22520.44</v>
      </c>
    </row>
    <row r="90" customFormat="false" ht="15" hidden="false" customHeight="false" outlineLevel="0" collapsed="false">
      <c r="A90" s="11" t="s">
        <v>822</v>
      </c>
      <c r="M90" s="69" t="n">
        <f aca="false">IF(OperatingHours&gt;0,M89/OperatingHours,0)</f>
        <v>7.50681333333333</v>
      </c>
    </row>
  </sheetData>
  <dataValidations count="3">
    <dataValidation allowBlank="false" errorStyle="stop" operator="between" showDropDown="false" showErrorMessage="false" showInputMessage="false" sqref="G5" type="list">
      <formula1>IDS_MILLING</formula1>
      <formula2>0</formula2>
    </dataValidation>
    <dataValidation allowBlank="false" errorStyle="stop" operator="between" showDropDown="false" showErrorMessage="false" showInputMessage="false" sqref="C39:E39" type="list">
      <formula1>"YES,NO"</formula1>
      <formula2>0</formula2>
    </dataValidation>
    <dataValidation allowBlank="false" errorStyle="stop" operator="between" showDropDown="false" showErrorMessage="false" showInputMessage="false" sqref="C40:E40" type="list">
      <formula1>"YES,NO"</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&amp;LBOMAG Compare Hub&amp;R&amp;P / &amp;N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C43"/>
    <pageSetUpPr fitToPage="true"/>
  </sheetPr>
  <dimension ref="A1:O1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1"/>
    <col collapsed="false" customWidth="true" hidden="false" outlineLevel="0" max="15" min="3" style="0" width="26"/>
  </cols>
  <sheetData>
    <row r="1" customFormat="false" ht="30" hidden="false" customHeight="true" outlineLevel="0" collapsed="false">
      <c r="A1" s="1" t="s">
        <v>823</v>
      </c>
      <c r="B1" s="2"/>
      <c r="C1" s="2"/>
      <c r="D1" s="2"/>
      <c r="E1" s="2"/>
      <c r="F1" s="2"/>
      <c r="G1" s="2"/>
      <c r="H1" s="2"/>
      <c r="I1" s="2"/>
      <c r="J1" s="2"/>
      <c r="K1" s="2"/>
      <c r="L1" s="2"/>
      <c r="M1" s="2"/>
      <c r="N1" s="2"/>
      <c r="O1" s="2"/>
    </row>
    <row r="2" customFormat="false" ht="18" hidden="false" customHeight="true" outlineLevel="0" collapsed="false">
      <c r="A2" s="3" t="s">
        <v>824</v>
      </c>
      <c r="B2" s="2"/>
      <c r="C2" s="2"/>
      <c r="D2" s="2"/>
      <c r="E2" s="2"/>
      <c r="F2" s="2"/>
      <c r="G2" s="2"/>
      <c r="H2" s="2"/>
      <c r="I2" s="2"/>
      <c r="J2" s="2"/>
      <c r="K2" s="2"/>
      <c r="L2" s="2"/>
      <c r="M2" s="2"/>
      <c r="N2" s="2"/>
      <c r="O2" s="2"/>
    </row>
    <row r="4" customFormat="false" ht="39.75" hidden="false" customHeight="true" outlineLevel="0" collapsed="false">
      <c r="A4" s="21" t="s">
        <v>80</v>
      </c>
      <c r="B4" s="22"/>
      <c r="C4" s="23" t="s">
        <v>81</v>
      </c>
      <c r="D4" s="23" t="s">
        <v>82</v>
      </c>
      <c r="E4" s="23" t="s">
        <v>825</v>
      </c>
      <c r="F4" s="23" t="s">
        <v>826</v>
      </c>
      <c r="G4" s="23" t="s">
        <v>827</v>
      </c>
      <c r="H4" s="23" t="s">
        <v>828</v>
      </c>
      <c r="I4" s="23" t="s">
        <v>829</v>
      </c>
      <c r="J4" s="23" t="s">
        <v>830</v>
      </c>
      <c r="K4" s="23" t="s">
        <v>831</v>
      </c>
      <c r="L4" s="23" t="s">
        <v>832</v>
      </c>
      <c r="M4" s="23" t="s">
        <v>833</v>
      </c>
      <c r="N4" s="23" t="s">
        <v>834</v>
      </c>
      <c r="O4" s="23" t="s">
        <v>23</v>
      </c>
    </row>
    <row r="5" customFormat="false" ht="30" hidden="false" customHeight="true" outlineLevel="0" collapsed="false">
      <c r="A5" s="24" t="s">
        <v>92</v>
      </c>
      <c r="B5" s="11"/>
      <c r="C5" s="25" t="n">
        <f aca="false">DieselPrice</f>
        <v>1.2</v>
      </c>
      <c r="D5" s="26" t="n">
        <f aca="false">OperatingHours</f>
        <v>3000</v>
      </c>
      <c r="E5" s="29" t="n">
        <v>10</v>
      </c>
      <c r="F5" s="28" t="n">
        <v>0.17</v>
      </c>
      <c r="G5" s="72" t="n">
        <v>0.75</v>
      </c>
      <c r="H5" s="72" t="n">
        <v>0.9</v>
      </c>
      <c r="I5" s="72" t="n">
        <v>0.9</v>
      </c>
      <c r="J5" s="73" t="n">
        <v>10.5</v>
      </c>
      <c r="K5" s="73" t="n">
        <v>3.5</v>
      </c>
      <c r="L5" s="74" t="n">
        <v>24000</v>
      </c>
      <c r="M5" s="29" t="n">
        <v>1000</v>
      </c>
      <c r="N5" s="29" t="n">
        <v>60</v>
      </c>
      <c r="O5" s="27" t="s">
        <v>835</v>
      </c>
    </row>
    <row r="7" customFormat="false" ht="15" hidden="false" customHeight="false" outlineLevel="0" collapsed="false">
      <c r="A7" s="33" t="s">
        <v>95</v>
      </c>
      <c r="B7" s="11"/>
      <c r="C7" s="34" t="s">
        <v>836</v>
      </c>
      <c r="D7" s="34" t="s">
        <v>835</v>
      </c>
      <c r="E7" s="34" t="s">
        <v>837</v>
      </c>
      <c r="F7" s="34" t="s">
        <v>838</v>
      </c>
    </row>
    <row r="8" customFormat="false" ht="15" hidden="false" customHeight="false" outlineLevel="0" collapsed="false">
      <c r="A8" s="35" t="s">
        <v>143</v>
      </c>
      <c r="B8" s="36"/>
      <c r="C8" s="38" t="s">
        <v>149</v>
      </c>
      <c r="D8" s="37" t="s">
        <v>144</v>
      </c>
      <c r="E8" s="38" t="s">
        <v>839</v>
      </c>
      <c r="F8" s="38" t="s">
        <v>146</v>
      </c>
    </row>
    <row r="9" customFormat="false" ht="27.75" hidden="false" customHeight="true" outlineLevel="0" collapsed="false">
      <c r="A9" s="35" t="s">
        <v>158</v>
      </c>
      <c r="B9" s="39" t="s">
        <v>55</v>
      </c>
      <c r="C9" s="40" t="s">
        <v>840</v>
      </c>
      <c r="D9" s="10" t="s">
        <v>841</v>
      </c>
      <c r="E9" s="40" t="s">
        <v>842</v>
      </c>
      <c r="F9" s="40" t="s">
        <v>843</v>
      </c>
    </row>
    <row r="11" customFormat="false" ht="19.5" hidden="false" customHeight="true" outlineLevel="0" collapsed="false">
      <c r="A11" s="21" t="s">
        <v>844</v>
      </c>
      <c r="B11" s="4"/>
      <c r="C11" s="4"/>
      <c r="D11" s="4"/>
      <c r="E11" s="4"/>
      <c r="F11" s="4"/>
    </row>
    <row r="12" customFormat="false" ht="32.25" hidden="false" customHeight="true" outlineLevel="0" collapsed="false">
      <c r="A12" s="14" t="s">
        <v>845</v>
      </c>
      <c r="B12" s="41"/>
      <c r="C12" s="14" t="s">
        <v>846</v>
      </c>
      <c r="D12" s="42" t="s">
        <v>847</v>
      </c>
      <c r="E12" s="42" t="s">
        <v>848</v>
      </c>
      <c r="F12" s="14" t="s">
        <v>849</v>
      </c>
    </row>
    <row r="13" customFormat="false" ht="18.75" hidden="false" customHeight="true" outlineLevel="0" collapsed="false">
      <c r="A13" s="14" t="s">
        <v>850</v>
      </c>
      <c r="B13" s="41"/>
      <c r="C13" s="42" t="s">
        <v>851</v>
      </c>
      <c r="D13" s="42" t="s">
        <v>852</v>
      </c>
      <c r="E13" s="42" t="s">
        <v>853</v>
      </c>
      <c r="F13" s="42" t="s">
        <v>854</v>
      </c>
    </row>
    <row r="14" customFormat="false" ht="32.25" hidden="false" customHeight="true" outlineLevel="0" collapsed="false">
      <c r="A14" s="14" t="s">
        <v>855</v>
      </c>
      <c r="B14" s="41"/>
      <c r="C14" s="14" t="s">
        <v>856</v>
      </c>
      <c r="D14" s="42" t="s">
        <v>857</v>
      </c>
      <c r="E14" s="42" t="s">
        <v>858</v>
      </c>
      <c r="F14" s="42" t="s">
        <v>859</v>
      </c>
    </row>
    <row r="15" customFormat="false" ht="32.25" hidden="false" customHeight="true" outlineLevel="0" collapsed="false">
      <c r="A15" s="14" t="s">
        <v>860</v>
      </c>
      <c r="B15" s="41"/>
      <c r="C15" s="42" t="s">
        <v>861</v>
      </c>
      <c r="D15" s="42" t="s">
        <v>862</v>
      </c>
      <c r="E15" s="42" t="s">
        <v>863</v>
      </c>
      <c r="F15" s="42" t="s">
        <v>864</v>
      </c>
    </row>
    <row r="16" customFormat="false" ht="18.75" hidden="false" customHeight="true" outlineLevel="0" collapsed="false">
      <c r="A16" s="14" t="s">
        <v>865</v>
      </c>
      <c r="B16" s="41"/>
      <c r="C16" s="42" t="s">
        <v>866</v>
      </c>
      <c r="D16" s="42" t="s">
        <v>867</v>
      </c>
      <c r="E16" s="42" t="s">
        <v>868</v>
      </c>
      <c r="F16" s="42" t="s">
        <v>869</v>
      </c>
    </row>
    <row r="17" customFormat="false" ht="19.5" hidden="false" customHeight="true" outlineLevel="0" collapsed="false">
      <c r="A17" s="21" t="s">
        <v>870</v>
      </c>
      <c r="B17" s="4"/>
      <c r="C17" s="4"/>
      <c r="D17" s="4"/>
      <c r="E17" s="4"/>
      <c r="F17" s="4"/>
    </row>
    <row r="18" customFormat="false" ht="18.75" hidden="false" customHeight="true" outlineLevel="0" collapsed="false">
      <c r="A18" s="14" t="s">
        <v>871</v>
      </c>
      <c r="B18" s="41"/>
      <c r="C18" s="42" t="s">
        <v>872</v>
      </c>
      <c r="D18" s="42" t="s">
        <v>873</v>
      </c>
      <c r="E18" s="42" t="s">
        <v>874</v>
      </c>
      <c r="F18" s="42" t="s">
        <v>875</v>
      </c>
    </row>
    <row r="19" customFormat="false" ht="18.75" hidden="false" customHeight="true" outlineLevel="0" collapsed="false">
      <c r="A19" s="14" t="s">
        <v>876</v>
      </c>
      <c r="B19" s="41"/>
      <c r="C19" s="42" t="s">
        <v>877</v>
      </c>
      <c r="D19" s="42" t="s">
        <v>877</v>
      </c>
      <c r="E19" s="42" t="s">
        <v>878</v>
      </c>
      <c r="F19" s="42" t="s">
        <v>879</v>
      </c>
    </row>
    <row r="20" customFormat="false" ht="18.75" hidden="false" customHeight="true" outlineLevel="0" collapsed="false">
      <c r="A20" s="14" t="s">
        <v>880</v>
      </c>
      <c r="B20" s="41"/>
      <c r="C20" s="42" t="s">
        <v>881</v>
      </c>
      <c r="D20" s="42" t="s">
        <v>882</v>
      </c>
      <c r="E20" s="42" t="s">
        <v>883</v>
      </c>
      <c r="F20" s="42" t="s">
        <v>882</v>
      </c>
    </row>
    <row r="21" customFormat="false" ht="18.75" hidden="false" customHeight="true" outlineLevel="0" collapsed="false">
      <c r="A21" s="14" t="s">
        <v>884</v>
      </c>
      <c r="B21" s="41"/>
      <c r="C21" s="42" t="s">
        <v>885</v>
      </c>
      <c r="D21" s="42" t="s">
        <v>886</v>
      </c>
      <c r="E21" s="42" t="s">
        <v>886</v>
      </c>
      <c r="F21" s="42" t="s">
        <v>887</v>
      </c>
    </row>
    <row r="22" customFormat="false" ht="19.5" hidden="false" customHeight="true" outlineLevel="0" collapsed="false">
      <c r="A22" s="21" t="s">
        <v>888</v>
      </c>
      <c r="B22" s="4"/>
      <c r="C22" s="4"/>
      <c r="D22" s="4"/>
      <c r="E22" s="4"/>
      <c r="F22" s="4"/>
    </row>
    <row r="23" customFormat="false" ht="32.25" hidden="false" customHeight="true" outlineLevel="0" collapsed="false">
      <c r="A23" s="14" t="s">
        <v>889</v>
      </c>
      <c r="B23" s="41"/>
      <c r="C23" s="42" t="s">
        <v>890</v>
      </c>
      <c r="D23" s="14" t="s">
        <v>891</v>
      </c>
      <c r="E23" s="42" t="s">
        <v>892</v>
      </c>
      <c r="F23" s="42" t="s">
        <v>893</v>
      </c>
    </row>
    <row r="24" customFormat="false" ht="32.25" hidden="false" customHeight="true" outlineLevel="0" collapsed="false">
      <c r="A24" s="14" t="s">
        <v>894</v>
      </c>
      <c r="B24" s="41"/>
      <c r="C24" s="42" t="s">
        <v>895</v>
      </c>
      <c r="D24" s="42" t="s">
        <v>896</v>
      </c>
      <c r="E24" s="14" t="s">
        <v>897</v>
      </c>
      <c r="F24" s="14" t="s">
        <v>898</v>
      </c>
    </row>
    <row r="25" customFormat="false" ht="32.25" hidden="false" customHeight="true" outlineLevel="0" collapsed="false">
      <c r="A25" s="14" t="s">
        <v>899</v>
      </c>
      <c r="B25" s="41"/>
      <c r="C25" s="42" t="s">
        <v>900</v>
      </c>
      <c r="D25" s="42" t="s">
        <v>901</v>
      </c>
      <c r="E25" s="14" t="s">
        <v>902</v>
      </c>
      <c r="F25" s="14" t="s">
        <v>903</v>
      </c>
    </row>
    <row r="26" customFormat="false" ht="45" hidden="false" customHeight="true" outlineLevel="0" collapsed="false">
      <c r="A26" s="14" t="s">
        <v>904</v>
      </c>
      <c r="B26" s="41"/>
      <c r="C26" s="14" t="s">
        <v>905</v>
      </c>
      <c r="D26" s="14" t="s">
        <v>906</v>
      </c>
      <c r="E26" s="14" t="s">
        <v>907</v>
      </c>
      <c r="F26" s="14" t="s">
        <v>908</v>
      </c>
    </row>
    <row r="27" customFormat="false" ht="19.5" hidden="false" customHeight="true" outlineLevel="0" collapsed="false">
      <c r="A27" s="21" t="s">
        <v>909</v>
      </c>
      <c r="B27" s="4"/>
      <c r="C27" s="4"/>
      <c r="D27" s="4"/>
      <c r="E27" s="4"/>
      <c r="F27" s="4"/>
    </row>
    <row r="28" customFormat="false" ht="18.75" hidden="false" customHeight="true" outlineLevel="0" collapsed="false">
      <c r="A28" s="14" t="s">
        <v>910</v>
      </c>
      <c r="B28" s="41"/>
      <c r="C28" s="42" t="s">
        <v>911</v>
      </c>
      <c r="D28" s="42" t="s">
        <v>912</v>
      </c>
      <c r="E28" s="42" t="s">
        <v>913</v>
      </c>
      <c r="F28" s="42" t="s">
        <v>914</v>
      </c>
    </row>
    <row r="29" customFormat="false" ht="18.75" hidden="false" customHeight="true" outlineLevel="0" collapsed="false">
      <c r="A29" s="14" t="s">
        <v>915</v>
      </c>
      <c r="B29" s="41"/>
      <c r="C29" s="42" t="s">
        <v>916</v>
      </c>
      <c r="D29" s="42" t="s">
        <v>917</v>
      </c>
      <c r="E29" s="42" t="s">
        <v>918</v>
      </c>
      <c r="F29" s="42" t="s">
        <v>919</v>
      </c>
    </row>
    <row r="30" customFormat="false" ht="45" hidden="false" customHeight="true" outlineLevel="0" collapsed="false">
      <c r="A30" s="14" t="s">
        <v>920</v>
      </c>
      <c r="B30" s="41"/>
      <c r="C30" s="42" t="s">
        <v>921</v>
      </c>
      <c r="D30" s="14" t="s">
        <v>922</v>
      </c>
      <c r="E30" s="14" t="s">
        <v>923</v>
      </c>
      <c r="F30" s="14" t="s">
        <v>924</v>
      </c>
    </row>
    <row r="31" customFormat="false" ht="45" hidden="false" customHeight="true" outlineLevel="0" collapsed="false">
      <c r="A31" s="14" t="s">
        <v>925</v>
      </c>
      <c r="B31" s="41"/>
      <c r="C31" s="42" t="s">
        <v>926</v>
      </c>
      <c r="D31" s="42" t="s">
        <v>927</v>
      </c>
      <c r="E31" s="14" t="s">
        <v>928</v>
      </c>
      <c r="F31" s="14" t="s">
        <v>929</v>
      </c>
    </row>
    <row r="32" customFormat="false" ht="19.5" hidden="false" customHeight="true" outlineLevel="0" collapsed="false">
      <c r="A32" s="21" t="s">
        <v>930</v>
      </c>
      <c r="B32" s="4"/>
      <c r="C32" s="4"/>
      <c r="D32" s="4"/>
      <c r="E32" s="4"/>
      <c r="F32" s="4"/>
    </row>
    <row r="33" customFormat="false" ht="45" hidden="false" customHeight="true" outlineLevel="0" collapsed="false">
      <c r="A33" s="14" t="s">
        <v>931</v>
      </c>
      <c r="B33" s="41"/>
      <c r="C33" s="14" t="s">
        <v>932</v>
      </c>
      <c r="D33" s="14" t="s">
        <v>933</v>
      </c>
      <c r="E33" s="14" t="s">
        <v>934</v>
      </c>
      <c r="F33" s="14" t="s">
        <v>935</v>
      </c>
    </row>
    <row r="34" customFormat="false" ht="58.5" hidden="false" customHeight="true" outlineLevel="0" collapsed="false">
      <c r="A34" s="14" t="s">
        <v>936</v>
      </c>
      <c r="B34" s="41"/>
      <c r="C34" s="14" t="s">
        <v>937</v>
      </c>
      <c r="D34" s="14" t="s">
        <v>938</v>
      </c>
      <c r="E34" s="14" t="s">
        <v>939</v>
      </c>
      <c r="F34" s="14" t="s">
        <v>940</v>
      </c>
    </row>
    <row r="35" customFormat="false" ht="45" hidden="false" customHeight="true" outlineLevel="0" collapsed="false">
      <c r="A35" s="14" t="s">
        <v>941</v>
      </c>
      <c r="B35" s="41"/>
      <c r="C35" s="42" t="s">
        <v>942</v>
      </c>
      <c r="D35" s="14" t="s">
        <v>943</v>
      </c>
      <c r="E35" s="42" t="s">
        <v>944</v>
      </c>
      <c r="F35" s="14" t="s">
        <v>945</v>
      </c>
    </row>
    <row r="36" customFormat="false" ht="45" hidden="false" customHeight="true" outlineLevel="0" collapsed="false">
      <c r="A36" s="14" t="s">
        <v>946</v>
      </c>
      <c r="B36" s="41"/>
      <c r="C36" s="14" t="s">
        <v>947</v>
      </c>
      <c r="D36" s="14" t="s">
        <v>948</v>
      </c>
      <c r="E36" s="14" t="s">
        <v>949</v>
      </c>
      <c r="F36" s="42" t="s">
        <v>950</v>
      </c>
    </row>
    <row r="37" customFormat="false" ht="18.75" hidden="false" customHeight="true" outlineLevel="0" collapsed="false">
      <c r="A37" s="14" t="s">
        <v>951</v>
      </c>
      <c r="B37" s="41"/>
      <c r="C37" s="42" t="s">
        <v>952</v>
      </c>
      <c r="D37" s="42" t="s">
        <v>953</v>
      </c>
      <c r="E37" s="42" t="s">
        <v>952</v>
      </c>
      <c r="F37" s="42" t="s">
        <v>952</v>
      </c>
    </row>
    <row r="38" customFormat="false" ht="19.5" hidden="false" customHeight="true" outlineLevel="0" collapsed="false">
      <c r="A38" s="21" t="s">
        <v>954</v>
      </c>
      <c r="B38" s="4"/>
      <c r="C38" s="4"/>
      <c r="D38" s="4"/>
      <c r="E38" s="4"/>
      <c r="F38" s="4"/>
    </row>
    <row r="39" customFormat="false" ht="58.5" hidden="false" customHeight="true" outlineLevel="0" collapsed="false">
      <c r="A39" s="14" t="s">
        <v>955</v>
      </c>
      <c r="B39" s="41"/>
      <c r="C39" s="14" t="s">
        <v>956</v>
      </c>
      <c r="D39" s="14" t="s">
        <v>957</v>
      </c>
      <c r="E39" s="14" t="s">
        <v>958</v>
      </c>
      <c r="F39" s="42" t="s">
        <v>959</v>
      </c>
    </row>
    <row r="40" customFormat="false" ht="18.75" hidden="false" customHeight="true" outlineLevel="0" collapsed="false">
      <c r="A40" s="14" t="s">
        <v>960</v>
      </c>
      <c r="B40" s="41"/>
      <c r="C40" s="42" t="s">
        <v>961</v>
      </c>
      <c r="D40" s="42" t="s">
        <v>962</v>
      </c>
      <c r="E40" s="42" t="s">
        <v>963</v>
      </c>
      <c r="F40" s="42" t="s">
        <v>964</v>
      </c>
    </row>
    <row r="41" customFormat="false" ht="32.25" hidden="false" customHeight="true" outlineLevel="0" collapsed="false">
      <c r="A41" s="14" t="s">
        <v>965</v>
      </c>
      <c r="B41" s="41"/>
      <c r="C41" s="42" t="s">
        <v>966</v>
      </c>
      <c r="D41" s="14" t="s">
        <v>967</v>
      </c>
      <c r="E41" s="42" t="s">
        <v>968</v>
      </c>
      <c r="F41" s="42" t="s">
        <v>968</v>
      </c>
    </row>
    <row r="42" customFormat="false" ht="18.75" hidden="false" customHeight="true" outlineLevel="0" collapsed="false">
      <c r="A42" s="14" t="s">
        <v>969</v>
      </c>
      <c r="B42" s="41"/>
      <c r="C42" s="42" t="s">
        <v>970</v>
      </c>
      <c r="D42" s="42" t="s">
        <v>971</v>
      </c>
      <c r="E42" s="42" t="s">
        <v>972</v>
      </c>
      <c r="F42" s="42" t="s">
        <v>972</v>
      </c>
    </row>
    <row r="43" customFormat="false" ht="19.5" hidden="false" customHeight="true" outlineLevel="0" collapsed="false">
      <c r="A43" s="21" t="s">
        <v>973</v>
      </c>
      <c r="B43" s="4"/>
      <c r="C43" s="4"/>
      <c r="D43" s="4"/>
      <c r="E43" s="4"/>
      <c r="F43" s="4"/>
    </row>
    <row r="44" customFormat="false" ht="45" hidden="false" customHeight="true" outlineLevel="0" collapsed="false">
      <c r="A44" s="14" t="s">
        <v>974</v>
      </c>
      <c r="B44" s="41"/>
      <c r="C44" s="14" t="s">
        <v>975</v>
      </c>
      <c r="D44" s="14" t="s">
        <v>976</v>
      </c>
      <c r="E44" s="14" t="s">
        <v>977</v>
      </c>
      <c r="F44" s="14" t="s">
        <v>978</v>
      </c>
    </row>
    <row r="45" customFormat="false" ht="45" hidden="false" customHeight="true" outlineLevel="0" collapsed="false">
      <c r="A45" s="14" t="s">
        <v>979</v>
      </c>
      <c r="B45" s="41"/>
      <c r="C45" s="42" t="s">
        <v>980</v>
      </c>
      <c r="D45" s="14" t="s">
        <v>981</v>
      </c>
      <c r="E45" s="14" t="s">
        <v>982</v>
      </c>
      <c r="F45" s="14" t="s">
        <v>983</v>
      </c>
    </row>
    <row r="46" customFormat="false" ht="45" hidden="false" customHeight="true" outlineLevel="0" collapsed="false">
      <c r="A46" s="14" t="s">
        <v>984</v>
      </c>
      <c r="B46" s="41"/>
      <c r="C46" s="14" t="s">
        <v>985</v>
      </c>
      <c r="D46" s="14" t="s">
        <v>986</v>
      </c>
      <c r="E46" s="14" t="s">
        <v>987</v>
      </c>
      <c r="F46" s="14" t="s">
        <v>988</v>
      </c>
    </row>
    <row r="47" customFormat="false" ht="32.25" hidden="false" customHeight="true" outlineLevel="0" collapsed="false">
      <c r="A47" s="14" t="s">
        <v>989</v>
      </c>
      <c r="B47" s="41"/>
      <c r="C47" s="14" t="s">
        <v>990</v>
      </c>
      <c r="D47" s="42" t="s">
        <v>991</v>
      </c>
      <c r="E47" s="42" t="s">
        <v>952</v>
      </c>
      <c r="F47" s="14" t="s">
        <v>992</v>
      </c>
    </row>
    <row r="48" customFormat="false" ht="32.25" hidden="false" customHeight="true" outlineLevel="0" collapsed="false">
      <c r="A48" s="14" t="s">
        <v>993</v>
      </c>
      <c r="B48" s="41"/>
      <c r="C48" s="42" t="s">
        <v>994</v>
      </c>
      <c r="D48" s="14" t="s">
        <v>995</v>
      </c>
      <c r="E48" s="14" t="s">
        <v>996</v>
      </c>
      <c r="F48" s="42" t="s">
        <v>997</v>
      </c>
    </row>
    <row r="49" customFormat="false" ht="19.5" hidden="false" customHeight="true" outlineLevel="0" collapsed="false">
      <c r="A49" s="21" t="s">
        <v>326</v>
      </c>
      <c r="B49" s="4"/>
      <c r="C49" s="4"/>
      <c r="D49" s="4"/>
      <c r="E49" s="4"/>
      <c r="F49" s="4"/>
    </row>
    <row r="50" customFormat="false" ht="58.5" hidden="false" customHeight="true" outlineLevel="0" collapsed="false">
      <c r="A50" s="14" t="s">
        <v>998</v>
      </c>
      <c r="B50" s="41"/>
      <c r="C50" s="14" t="s">
        <v>999</v>
      </c>
      <c r="D50" s="14" t="s">
        <v>1000</v>
      </c>
      <c r="E50" s="14" t="s">
        <v>1001</v>
      </c>
      <c r="F50" s="14" t="s">
        <v>1002</v>
      </c>
    </row>
    <row r="51" customFormat="false" ht="58.5" hidden="false" customHeight="true" outlineLevel="0" collapsed="false">
      <c r="A51" s="14" t="s">
        <v>1003</v>
      </c>
      <c r="B51" s="41"/>
      <c r="C51" s="42" t="s">
        <v>1004</v>
      </c>
      <c r="D51" s="14" t="s">
        <v>1005</v>
      </c>
      <c r="E51" s="42" t="s">
        <v>1004</v>
      </c>
      <c r="F51" s="14" t="s">
        <v>1006</v>
      </c>
    </row>
    <row r="52" customFormat="false" ht="58.5" hidden="false" customHeight="true" outlineLevel="0" collapsed="false">
      <c r="A52" s="14" t="s">
        <v>1007</v>
      </c>
      <c r="B52" s="41"/>
      <c r="C52" s="14" t="s">
        <v>1008</v>
      </c>
      <c r="D52" s="14" t="s">
        <v>1009</v>
      </c>
      <c r="E52" s="14" t="s">
        <v>1010</v>
      </c>
      <c r="F52" s="14" t="s">
        <v>1011</v>
      </c>
    </row>
    <row r="53" customFormat="false" ht="45" hidden="false" customHeight="true" outlineLevel="0" collapsed="false">
      <c r="A53" s="14" t="s">
        <v>1012</v>
      </c>
      <c r="B53" s="41"/>
      <c r="C53" s="14" t="s">
        <v>1013</v>
      </c>
      <c r="D53" s="14" t="s">
        <v>1014</v>
      </c>
      <c r="E53" s="14" t="s">
        <v>1015</v>
      </c>
      <c r="F53" s="14" t="s">
        <v>1016</v>
      </c>
    </row>
    <row r="54" customFormat="false" ht="58.5" hidden="false" customHeight="true" outlineLevel="0" collapsed="false">
      <c r="A54" s="14" t="s">
        <v>1017</v>
      </c>
      <c r="B54" s="41"/>
      <c r="C54" s="14" t="s">
        <v>1018</v>
      </c>
      <c r="D54" s="14" t="s">
        <v>1019</v>
      </c>
      <c r="E54" s="14" t="s">
        <v>1020</v>
      </c>
      <c r="F54" s="42" t="s">
        <v>1021</v>
      </c>
    </row>
    <row r="55" customFormat="false" ht="45" hidden="false" customHeight="true" outlineLevel="0" collapsed="false">
      <c r="A55" s="14" t="s">
        <v>1022</v>
      </c>
      <c r="B55" s="41"/>
      <c r="C55" s="42" t="s">
        <v>926</v>
      </c>
      <c r="D55" s="42" t="s">
        <v>927</v>
      </c>
      <c r="E55" s="14" t="s">
        <v>1023</v>
      </c>
      <c r="F55" s="14" t="s">
        <v>1024</v>
      </c>
    </row>
    <row r="56" customFormat="false" ht="45" hidden="false" customHeight="true" outlineLevel="0" collapsed="false">
      <c r="A56" s="14" t="s">
        <v>1025</v>
      </c>
      <c r="B56" s="41"/>
      <c r="C56" s="14" t="s">
        <v>1026</v>
      </c>
      <c r="D56" s="14" t="s">
        <v>1027</v>
      </c>
      <c r="E56" s="14" t="s">
        <v>1028</v>
      </c>
      <c r="F56" s="14" t="s">
        <v>1029</v>
      </c>
    </row>
    <row r="57" customFormat="false" ht="58.5" hidden="false" customHeight="true" outlineLevel="0" collapsed="false">
      <c r="A57" s="14" t="s">
        <v>1030</v>
      </c>
      <c r="B57" s="41"/>
      <c r="C57" s="14" t="s">
        <v>1031</v>
      </c>
      <c r="D57" s="14" t="s">
        <v>1032</v>
      </c>
      <c r="E57" s="14" t="s">
        <v>1031</v>
      </c>
      <c r="F57" s="14" t="s">
        <v>1031</v>
      </c>
    </row>
    <row r="58" customFormat="false" ht="32.25" hidden="false" customHeight="true" outlineLevel="0" collapsed="false">
      <c r="A58" s="14" t="s">
        <v>1033</v>
      </c>
      <c r="B58" s="41"/>
      <c r="C58" s="14" t="s">
        <v>1034</v>
      </c>
      <c r="D58" s="42" t="s">
        <v>1035</v>
      </c>
      <c r="E58" s="42" t="s">
        <v>1036</v>
      </c>
      <c r="F58" s="14" t="s">
        <v>1037</v>
      </c>
    </row>
    <row r="59" customFormat="false" ht="19.5" hidden="false" customHeight="true" outlineLevel="0" collapsed="false">
      <c r="A59" s="21" t="s">
        <v>1038</v>
      </c>
      <c r="B59" s="4"/>
      <c r="C59" s="4"/>
      <c r="D59" s="4"/>
      <c r="E59" s="4"/>
      <c r="F59" s="4"/>
    </row>
    <row r="60" customFormat="false" ht="32.25" hidden="false" customHeight="true" outlineLevel="0" collapsed="false">
      <c r="A60" s="14" t="s">
        <v>1039</v>
      </c>
      <c r="B60" s="41"/>
      <c r="C60" s="42" t="s">
        <v>1036</v>
      </c>
      <c r="D60" s="42" t="s">
        <v>1040</v>
      </c>
      <c r="E60" s="42" t="s">
        <v>1036</v>
      </c>
      <c r="F60" s="14" t="s">
        <v>1041</v>
      </c>
    </row>
    <row r="61" customFormat="false" ht="32.25" hidden="false" customHeight="true" outlineLevel="0" collapsed="false">
      <c r="A61" s="14" t="s">
        <v>1042</v>
      </c>
      <c r="B61" s="41"/>
      <c r="C61" s="42" t="s">
        <v>212</v>
      </c>
      <c r="D61" s="14" t="s">
        <v>1043</v>
      </c>
      <c r="E61" s="42" t="s">
        <v>212</v>
      </c>
      <c r="F61" s="42" t="s">
        <v>1044</v>
      </c>
    </row>
    <row r="62" customFormat="false" ht="18.75" hidden="false" customHeight="true" outlineLevel="0" collapsed="false">
      <c r="A62" s="14" t="s">
        <v>1045</v>
      </c>
      <c r="B62" s="41"/>
      <c r="C62" s="42" t="s">
        <v>1046</v>
      </c>
      <c r="D62" s="42" t="s">
        <v>1047</v>
      </c>
      <c r="E62" s="42" t="s">
        <v>1046</v>
      </c>
      <c r="F62" s="42" t="s">
        <v>1048</v>
      </c>
    </row>
    <row r="63" customFormat="false" ht="18.75" hidden="false" customHeight="true" outlineLevel="0" collapsed="false">
      <c r="A63" s="14" t="s">
        <v>1049</v>
      </c>
      <c r="B63" s="41"/>
      <c r="C63" s="42" t="s">
        <v>1050</v>
      </c>
      <c r="D63" s="42" t="s">
        <v>1051</v>
      </c>
      <c r="E63" s="42" t="s">
        <v>1036</v>
      </c>
      <c r="F63" s="42" t="s">
        <v>1052</v>
      </c>
    </row>
    <row r="64" customFormat="false" ht="45" hidden="false" customHeight="true" outlineLevel="0" collapsed="false">
      <c r="A64" s="14" t="s">
        <v>1053</v>
      </c>
      <c r="B64" s="41"/>
      <c r="C64" s="42" t="s">
        <v>212</v>
      </c>
      <c r="D64" s="14" t="s">
        <v>1054</v>
      </c>
      <c r="E64" s="42" t="s">
        <v>212</v>
      </c>
      <c r="F64" s="42" t="s">
        <v>212</v>
      </c>
    </row>
    <row r="65" customFormat="false" ht="45" hidden="false" customHeight="true" outlineLevel="0" collapsed="false">
      <c r="A65" s="14" t="s">
        <v>1055</v>
      </c>
      <c r="B65" s="41"/>
      <c r="C65" s="42" t="s">
        <v>212</v>
      </c>
      <c r="D65" s="14" t="s">
        <v>1056</v>
      </c>
      <c r="E65" s="42" t="s">
        <v>212</v>
      </c>
      <c r="F65" s="42" t="s">
        <v>212</v>
      </c>
    </row>
    <row r="66" customFormat="false" ht="19.5" hidden="false" customHeight="true" outlineLevel="0" collapsed="false">
      <c r="A66" s="21" t="s">
        <v>1057</v>
      </c>
      <c r="B66" s="4"/>
      <c r="C66" s="4"/>
      <c r="D66" s="4"/>
      <c r="E66" s="4"/>
      <c r="F66" s="4"/>
    </row>
    <row r="67" customFormat="false" ht="32.25" hidden="false" customHeight="true" outlineLevel="0" collapsed="false">
      <c r="A67" s="14" t="s">
        <v>1058</v>
      </c>
      <c r="B67" s="41"/>
      <c r="C67" s="42" t="s">
        <v>1059</v>
      </c>
      <c r="D67" s="14" t="s">
        <v>1060</v>
      </c>
      <c r="E67" s="42" t="s">
        <v>1061</v>
      </c>
      <c r="F67" s="42" t="s">
        <v>1062</v>
      </c>
    </row>
    <row r="68" customFormat="false" ht="32.25" hidden="false" customHeight="true" outlineLevel="0" collapsed="false">
      <c r="A68" s="14" t="s">
        <v>1063</v>
      </c>
      <c r="B68" s="41"/>
      <c r="C68" s="42" t="s">
        <v>1064</v>
      </c>
      <c r="D68" s="42" t="s">
        <v>1065</v>
      </c>
      <c r="E68" s="42" t="s">
        <v>1064</v>
      </c>
      <c r="F68" s="42" t="s">
        <v>1066</v>
      </c>
    </row>
    <row r="69" customFormat="false" ht="18.75" hidden="false" customHeight="true" outlineLevel="0" collapsed="false">
      <c r="A69" s="14" t="s">
        <v>1067</v>
      </c>
      <c r="B69" s="41"/>
      <c r="C69" s="42" t="s">
        <v>1068</v>
      </c>
      <c r="D69" s="42" t="s">
        <v>1069</v>
      </c>
      <c r="E69" s="42" t="s">
        <v>1068</v>
      </c>
      <c r="F69" s="42" t="s">
        <v>1068</v>
      </c>
    </row>
    <row r="70" customFormat="false" ht="18.75" hidden="false" customHeight="true" outlineLevel="0" collapsed="false">
      <c r="A70" s="14" t="s">
        <v>1070</v>
      </c>
      <c r="B70" s="41"/>
      <c r="C70" s="42" t="s">
        <v>1071</v>
      </c>
      <c r="D70" s="42" t="s">
        <v>1072</v>
      </c>
      <c r="E70" s="42" t="s">
        <v>1071</v>
      </c>
      <c r="F70" s="42" t="s">
        <v>1071</v>
      </c>
    </row>
    <row r="71" customFormat="false" ht="18.75" hidden="false" customHeight="true" outlineLevel="0" collapsed="false">
      <c r="A71" s="14" t="s">
        <v>1073</v>
      </c>
      <c r="B71" s="41"/>
      <c r="C71" s="42" t="s">
        <v>1074</v>
      </c>
      <c r="D71" s="42" t="s">
        <v>1075</v>
      </c>
      <c r="E71" s="42" t="s">
        <v>1074</v>
      </c>
      <c r="F71" s="42" t="s">
        <v>1074</v>
      </c>
    </row>
    <row r="72" customFormat="false" ht="18.75" hidden="false" customHeight="true" outlineLevel="0" collapsed="false">
      <c r="A72" s="14" t="s">
        <v>1076</v>
      </c>
      <c r="B72" s="41"/>
      <c r="C72" s="42" t="s">
        <v>1077</v>
      </c>
      <c r="D72" s="42" t="s">
        <v>1078</v>
      </c>
      <c r="E72" s="42" t="s">
        <v>1077</v>
      </c>
      <c r="F72" s="42" t="s">
        <v>1077</v>
      </c>
    </row>
    <row r="73" customFormat="false" ht="18.75" hidden="false" customHeight="true" outlineLevel="0" collapsed="false">
      <c r="A73" s="14" t="s">
        <v>1079</v>
      </c>
      <c r="B73" s="41"/>
      <c r="C73" s="42" t="s">
        <v>1077</v>
      </c>
      <c r="D73" s="42" t="s">
        <v>1077</v>
      </c>
      <c r="E73" s="42" t="s">
        <v>1077</v>
      </c>
      <c r="F73" s="42" t="s">
        <v>1077</v>
      </c>
    </row>
    <row r="74" customFormat="false" ht="18.75" hidden="false" customHeight="true" outlineLevel="0" collapsed="false">
      <c r="A74" s="14" t="s">
        <v>1080</v>
      </c>
      <c r="B74" s="41"/>
      <c r="C74" s="42" t="s">
        <v>1077</v>
      </c>
      <c r="D74" s="42" t="s">
        <v>1078</v>
      </c>
      <c r="E74" s="42" t="s">
        <v>1077</v>
      </c>
      <c r="F74" s="42" t="s">
        <v>1077</v>
      </c>
    </row>
    <row r="75" customFormat="false" ht="18.75" hidden="false" customHeight="true" outlineLevel="0" collapsed="false">
      <c r="A75" s="14" t="s">
        <v>1081</v>
      </c>
      <c r="B75" s="41"/>
      <c r="C75" s="42" t="s">
        <v>1082</v>
      </c>
      <c r="D75" s="42" t="s">
        <v>1083</v>
      </c>
      <c r="E75" s="42" t="s">
        <v>1082</v>
      </c>
      <c r="F75" s="42" t="s">
        <v>1082</v>
      </c>
    </row>
    <row r="76" customFormat="false" ht="18.75" hidden="false" customHeight="true" outlineLevel="0" collapsed="false">
      <c r="A76" s="14" t="s">
        <v>1084</v>
      </c>
      <c r="B76" s="41"/>
      <c r="C76" s="42" t="s">
        <v>1085</v>
      </c>
      <c r="D76" s="42" t="s">
        <v>212</v>
      </c>
      <c r="E76" s="42" t="s">
        <v>1085</v>
      </c>
      <c r="F76" s="42" t="s">
        <v>1085</v>
      </c>
    </row>
    <row r="77" customFormat="false" ht="32.25" hidden="false" customHeight="true" outlineLevel="0" collapsed="false">
      <c r="A77" s="14" t="s">
        <v>1086</v>
      </c>
      <c r="B77" s="41"/>
      <c r="C77" s="42" t="s">
        <v>1087</v>
      </c>
      <c r="D77" s="42" t="s">
        <v>1088</v>
      </c>
      <c r="E77" s="42" t="s">
        <v>1087</v>
      </c>
      <c r="F77" s="42" t="s">
        <v>1089</v>
      </c>
    </row>
    <row r="78" customFormat="false" ht="19.5" hidden="false" customHeight="true" outlineLevel="0" collapsed="false">
      <c r="A78" s="21" t="s">
        <v>432</v>
      </c>
      <c r="B78" s="4"/>
      <c r="C78" s="4"/>
      <c r="D78" s="4"/>
      <c r="E78" s="4"/>
      <c r="F78" s="4"/>
    </row>
    <row r="79" customFormat="false" ht="18.75" hidden="false" customHeight="true" outlineLevel="0" collapsed="false">
      <c r="A79" s="14" t="s">
        <v>433</v>
      </c>
      <c r="B79" s="41" t="s">
        <v>67</v>
      </c>
      <c r="C79" s="44" t="n">
        <v>0</v>
      </c>
      <c r="D79" s="44" t="n">
        <v>0</v>
      </c>
      <c r="E79" s="44" t="n">
        <v>0</v>
      </c>
      <c r="F79" s="44" t="n">
        <v>0</v>
      </c>
    </row>
    <row r="80" customFormat="false" ht="18.75" hidden="false" customHeight="true" outlineLevel="0" collapsed="false">
      <c r="A80" s="14" t="s">
        <v>1090</v>
      </c>
      <c r="B80" s="41" t="s">
        <v>435</v>
      </c>
      <c r="C80" s="65" t="n">
        <v>14.0769</v>
      </c>
      <c r="D80" s="65" t="n">
        <v>8.9</v>
      </c>
      <c r="E80" s="65" t="n">
        <v>0</v>
      </c>
      <c r="F80" s="65" t="n">
        <v>10.5</v>
      </c>
    </row>
    <row r="81" customFormat="false" ht="18.75" hidden="false" customHeight="true" outlineLevel="0" collapsed="false">
      <c r="A81" s="14" t="s">
        <v>436</v>
      </c>
      <c r="B81" s="41" t="s">
        <v>437</v>
      </c>
      <c r="C81" s="46" t="n">
        <v>10</v>
      </c>
      <c r="D81" s="46" t="n">
        <v>8</v>
      </c>
      <c r="E81" s="46" t="n">
        <v>10</v>
      </c>
      <c r="F81" s="46" t="n">
        <v>10</v>
      </c>
    </row>
    <row r="82" customFormat="false" ht="18.75" hidden="false" customHeight="true" outlineLevel="0" collapsed="false">
      <c r="A82" s="14" t="s">
        <v>438</v>
      </c>
      <c r="B82" s="41" t="s">
        <v>437</v>
      </c>
      <c r="C82" s="46" t="n">
        <v>6</v>
      </c>
      <c r="D82" s="46" t="n">
        <v>4</v>
      </c>
      <c r="E82" s="46" t="n">
        <v>6</v>
      </c>
      <c r="F82" s="46" t="n">
        <v>6</v>
      </c>
    </row>
    <row r="83" customFormat="false" ht="18.75" hidden="false" customHeight="true" outlineLevel="0" collapsed="false">
      <c r="A83" s="14" t="s">
        <v>439</v>
      </c>
      <c r="B83" s="41" t="s">
        <v>67</v>
      </c>
      <c r="C83" s="44" t="n">
        <v>0</v>
      </c>
      <c r="D83" s="44" t="n">
        <v>0</v>
      </c>
      <c r="E83" s="44" t="n">
        <v>0</v>
      </c>
      <c r="F83" s="44" t="n">
        <v>0</v>
      </c>
    </row>
    <row r="84" customFormat="false" ht="18.75" hidden="false" customHeight="true" outlineLevel="0" collapsed="false">
      <c r="A84" s="14" t="s">
        <v>1091</v>
      </c>
      <c r="B84" s="41" t="s">
        <v>440</v>
      </c>
      <c r="C84" s="47" t="s">
        <v>442</v>
      </c>
      <c r="D84" s="47" t="s">
        <v>441</v>
      </c>
      <c r="E84" s="47" t="s">
        <v>442</v>
      </c>
      <c r="F84" s="47" t="s">
        <v>442</v>
      </c>
    </row>
    <row r="85" customFormat="false" ht="18.75" hidden="false" customHeight="true" outlineLevel="0" collapsed="false">
      <c r="A85" s="14" t="s">
        <v>1092</v>
      </c>
      <c r="B85" s="41" t="s">
        <v>440</v>
      </c>
      <c r="C85" s="47" t="s">
        <v>442</v>
      </c>
      <c r="D85" s="47" t="s">
        <v>441</v>
      </c>
      <c r="E85" s="47" t="s">
        <v>442</v>
      </c>
      <c r="F85" s="47" t="s">
        <v>442</v>
      </c>
    </row>
    <row r="86" customFormat="false" ht="18.75" hidden="false" customHeight="true" outlineLevel="0" collapsed="false">
      <c r="A86" s="14" t="s">
        <v>1093</v>
      </c>
      <c r="B86" s="41" t="s">
        <v>440</v>
      </c>
      <c r="C86" s="47" t="s">
        <v>442</v>
      </c>
      <c r="D86" s="47" t="s">
        <v>441</v>
      </c>
      <c r="E86" s="47" t="s">
        <v>442</v>
      </c>
      <c r="F86" s="47" t="s">
        <v>442</v>
      </c>
    </row>
    <row r="87" customFormat="false" ht="18.75" hidden="false" customHeight="true" outlineLevel="0" collapsed="false">
      <c r="A87" s="14" t="s">
        <v>1094</v>
      </c>
      <c r="B87" s="41" t="s">
        <v>440</v>
      </c>
      <c r="C87" s="47" t="s">
        <v>441</v>
      </c>
      <c r="D87" s="47" t="s">
        <v>441</v>
      </c>
      <c r="E87" s="47" t="s">
        <v>441</v>
      </c>
      <c r="F87" s="47" t="s">
        <v>441</v>
      </c>
    </row>
    <row r="88" customFormat="false" ht="18.75" hidden="false" customHeight="true" outlineLevel="0" collapsed="false">
      <c r="A88" s="14" t="s">
        <v>1095</v>
      </c>
      <c r="B88" s="41" t="s">
        <v>1096</v>
      </c>
      <c r="C88" s="45" t="n">
        <v>10.5</v>
      </c>
      <c r="D88" s="45" t="n">
        <v>3.5</v>
      </c>
      <c r="E88" s="45" t="n">
        <v>10.5</v>
      </c>
      <c r="F88" s="45" t="n">
        <v>10.5</v>
      </c>
    </row>
    <row r="89" customFormat="false" ht="18.75" hidden="false" customHeight="true" outlineLevel="0" collapsed="false">
      <c r="A89" s="14" t="s">
        <v>1097</v>
      </c>
      <c r="B89" s="41" t="s">
        <v>1098</v>
      </c>
      <c r="C89" s="48" t="n">
        <v>60</v>
      </c>
      <c r="D89" s="48" t="n">
        <v>30</v>
      </c>
      <c r="E89" s="48" t="n">
        <v>60</v>
      </c>
      <c r="F89" s="48" t="n">
        <v>30</v>
      </c>
    </row>
    <row r="90" customFormat="false" ht="18.75" hidden="false" customHeight="true" outlineLevel="0" collapsed="false">
      <c r="A90" s="14" t="s">
        <v>1099</v>
      </c>
      <c r="B90" s="41" t="s">
        <v>69</v>
      </c>
      <c r="C90" s="75" t="n">
        <v>24000</v>
      </c>
      <c r="D90" s="75" t="n">
        <v>8000</v>
      </c>
      <c r="E90" s="75" t="n">
        <v>24000</v>
      </c>
      <c r="F90" s="75" t="n">
        <v>24000</v>
      </c>
    </row>
    <row r="91" customFormat="false" ht="19.5" hidden="false" customHeight="true" outlineLevel="0" collapsed="false">
      <c r="A91" s="21" t="s">
        <v>1100</v>
      </c>
      <c r="B91" s="4"/>
      <c r="C91" s="4"/>
      <c r="D91" s="4"/>
      <c r="E91" s="4"/>
      <c r="F91" s="4"/>
    </row>
    <row r="92" customFormat="false" ht="18.75" hidden="false" customHeight="true" outlineLevel="0" collapsed="false">
      <c r="A92" s="14" t="s">
        <v>1101</v>
      </c>
      <c r="B92" s="41" t="s">
        <v>757</v>
      </c>
      <c r="C92" s="66" t="n">
        <f aca="false">IF(C85="NO",1,IF(C84="YES",1-PAV_EcomodeSaving,IF(ISNUMBER(SEARCH("ecoplus",C15)),PAV_FactorEcoPlus,IF(ISNUMBER(SEARCH("variospeed",C15)),PAV_FactorVarioSpeed,IF(ISNUMBER(SEARCH("eco-mode",C15)),PAV_FactorEcoMode,1)))))</f>
        <v>1</v>
      </c>
      <c r="D92" s="66" t="n">
        <f aca="false">IF(D85="NO",1,IF(D84="YES",1-PAV_EcomodeSaving,IF(ISNUMBER(SEARCH("ecoplus",D15)),PAV_FactorEcoPlus,IF(ISNUMBER(SEARCH("variospeed",D15)),PAV_FactorVarioSpeed,IF(ISNUMBER(SEARCH("eco-mode",D15)),PAV_FactorEcoMode,1)))))</f>
        <v>0.83</v>
      </c>
      <c r="E92" s="66" t="n">
        <f aca="false">IF(E85="NO",1,IF(E84="YES",1-PAV_EcomodeSaving,IF(ISNUMBER(SEARCH("ecoplus",E15)),PAV_FactorEcoPlus,IF(ISNUMBER(SEARCH("variospeed",E15)),PAV_FactorVarioSpeed,IF(ISNUMBER(SEARCH("eco-mode",E15)),PAV_FactorEcoMode,1)))))</f>
        <v>1</v>
      </c>
      <c r="F92" s="66" t="n">
        <f aca="false">IF(F85="NO",1,IF(F84="YES",1-PAV_EcomodeSaving,IF(ISNUMBER(SEARCH("ecoplus",F15)),PAV_FactorEcoPlus,IF(ISNUMBER(SEARCH("variospeed",F15)),PAV_FactorVarioSpeed,IF(ISNUMBER(SEARCH("eco-mode",F15)),PAV_FactorEcoMode,1)))))</f>
        <v>1</v>
      </c>
    </row>
    <row r="93" customFormat="false" ht="18.75" hidden="false" customHeight="true" outlineLevel="0" collapsed="false">
      <c r="A93" s="14" t="s">
        <v>1102</v>
      </c>
      <c r="B93" s="41" t="s">
        <v>435</v>
      </c>
      <c r="C93" s="76" t="n">
        <f aca="false">C80*C92</f>
        <v>14.0769</v>
      </c>
      <c r="D93" s="76" t="n">
        <f aca="false">D80*D92</f>
        <v>7.387</v>
      </c>
      <c r="E93" s="76" t="n">
        <f aca="false">E80*E92</f>
        <v>0</v>
      </c>
      <c r="F93" s="76" t="n">
        <f aca="false">F80*F92</f>
        <v>10.5</v>
      </c>
    </row>
    <row r="94" customFormat="false" ht="18.75" hidden="false" customHeight="true" outlineLevel="0" collapsed="false">
      <c r="A94" s="14" t="s">
        <v>1103</v>
      </c>
      <c r="B94" s="41" t="s">
        <v>1096</v>
      </c>
      <c r="C94" s="49" t="n">
        <f aca="false">IF(AND(C86="YES",C87="YES"),IF(C88&gt;0,C88,PAV_SetupMagma),IF(C86="YES",PAV_SetupStd,IF(C88&gt;0,C88,PAV_SetupStd)))</f>
        <v>10.5</v>
      </c>
      <c r="D94" s="49" t="n">
        <f aca="false">IF(AND(D86="YES",D87="YES"),IF(D88&gt;0,D88,PAV_SetupMagma),IF(D86="YES",PAV_SetupStd,IF(D88&gt;0,D88,PAV_SetupStd)))</f>
        <v>3.5</v>
      </c>
      <c r="E94" s="49" t="n">
        <f aca="false">IF(AND(E86="YES",E87="YES"),IF(E88&gt;0,E88,PAV_SetupMagma),IF(E86="YES",PAV_SetupStd,IF(E88&gt;0,E88,PAV_SetupStd)))</f>
        <v>10.5</v>
      </c>
      <c r="F94" s="49" t="n">
        <f aca="false">IF(AND(F86="YES",F87="YES"),IF(F88&gt;0,F88,PAV_SetupMagma),IF(F86="YES",PAV_SetupStd,IF(F88&gt;0,F88,PAV_SetupStd)))</f>
        <v>10.5</v>
      </c>
    </row>
    <row r="95" customFormat="false" ht="18.75" hidden="false" customHeight="true" outlineLevel="0" collapsed="false">
      <c r="A95" s="14" t="s">
        <v>1104</v>
      </c>
      <c r="B95" s="41" t="s">
        <v>1098</v>
      </c>
      <c r="C95" s="43" t="n">
        <f aca="false">IF(AND(C86="YES",C87="NO"),PAV_HeatMinStd,IF(C89&gt;0,C89,PAV_HeatMinStd))</f>
        <v>60</v>
      </c>
      <c r="D95" s="43" t="n">
        <f aca="false">IF(AND(D86="YES",D87="NO"),PAV_HeatMinStd,IF(D89&gt;0,D89,PAV_HeatMinStd))</f>
        <v>30</v>
      </c>
      <c r="E95" s="43" t="n">
        <f aca="false">IF(AND(E86="YES",E87="NO"),PAV_HeatMinStd,IF(E89&gt;0,E89,PAV_HeatMinStd))</f>
        <v>60</v>
      </c>
      <c r="F95" s="43" t="n">
        <f aca="false">IF(AND(F86="YES",F87="NO"),PAV_HeatMinStd,IF(F89&gt;0,F89,PAV_HeatMinStd))</f>
        <v>30</v>
      </c>
    </row>
    <row r="96" customFormat="false" ht="18.75" hidden="false" customHeight="true" outlineLevel="0" collapsed="false">
      <c r="A96" s="14" t="s">
        <v>1105</v>
      </c>
      <c r="B96" s="41" t="s">
        <v>437</v>
      </c>
      <c r="C96" s="50" t="n">
        <f aca="false">C90*EURUSD/(3*PAV_HoursPerYear)</f>
        <v>8.64</v>
      </c>
      <c r="D96" s="50" t="n">
        <f aca="false">D90*EURUSD/(3*PAV_HoursPerYear)</f>
        <v>2.88</v>
      </c>
      <c r="E96" s="50" t="n">
        <f aca="false">E90*EURUSD/(3*PAV_HoursPerYear)</f>
        <v>8.64</v>
      </c>
      <c r="F96" s="50" t="n">
        <f aca="false">F90*EURUSD/(3*PAV_HoursPerYear)</f>
        <v>8.64</v>
      </c>
    </row>
    <row r="97" customFormat="false" ht="18.75" hidden="false" customHeight="true" outlineLevel="0" collapsed="false">
      <c r="A97" s="14" t="s">
        <v>1106</v>
      </c>
      <c r="B97" s="41" t="s">
        <v>437</v>
      </c>
      <c r="C97" s="50" t="n">
        <f aca="false">PAV_Wear3yStd*EURUSD/(3*PAV_HoursPerYear)</f>
        <v>8.64</v>
      </c>
      <c r="D97" s="50" t="n">
        <f aca="false">PAV_Wear3yStd*EURUSD/(3*PAV_HoursPerYear)</f>
        <v>8.64</v>
      </c>
      <c r="E97" s="50" t="n">
        <f aca="false">PAV_Wear3yStd*EURUSD/(3*PAV_HoursPerYear)</f>
        <v>8.64</v>
      </c>
      <c r="F97" s="50" t="n">
        <f aca="false">PAV_Wear3yStd*EURUSD/(3*PAV_HoursPerYear)</f>
        <v>8.64</v>
      </c>
    </row>
    <row r="98" customFormat="false" ht="18.75" hidden="false" customHeight="true" outlineLevel="0" collapsed="false">
      <c r="A98" s="14" t="s">
        <v>1107</v>
      </c>
      <c r="B98" s="41" t="s">
        <v>437</v>
      </c>
      <c r="C98" s="50" t="n">
        <f aca="false">IF(AND(C86="YES",C87="YES"),C96,IF(C86="YES",C97,IF(C96&gt;0,C96,C97)))</f>
        <v>8.64</v>
      </c>
      <c r="D98" s="50" t="n">
        <f aca="false">IF(AND(D86="YES",D87="YES"),D96,IF(D86="YES",D97,IF(D96&gt;0,D96,D97)))</f>
        <v>2.88</v>
      </c>
      <c r="E98" s="50" t="n">
        <f aca="false">IF(AND(E86="YES",E87="YES"),E96,IF(E86="YES",E97,IF(E96&gt;0,E96,E97)))</f>
        <v>8.64</v>
      </c>
      <c r="F98" s="50" t="n">
        <f aca="false">IF(AND(F86="YES",F87="YES"),F96,IF(F86="YES",F97,IF(F96&gt;0,F96,F97)))</f>
        <v>8.64</v>
      </c>
    </row>
    <row r="99" customFormat="false" ht="19.5" hidden="false" customHeight="true" outlineLevel="0" collapsed="false">
      <c r="A99" s="21" t="s">
        <v>456</v>
      </c>
      <c r="B99" s="4"/>
      <c r="C99" s="4"/>
      <c r="D99" s="4"/>
      <c r="E99" s="4"/>
      <c r="F99" s="4"/>
    </row>
    <row r="100" customFormat="false" ht="18.75" hidden="false" customHeight="true" outlineLevel="0" collapsed="false">
      <c r="A100" s="14" t="s">
        <v>457</v>
      </c>
      <c r="B100" s="41" t="s">
        <v>67</v>
      </c>
      <c r="C100" s="51" t="n">
        <f aca="false">C93*OperatingHours*DieselPrice</f>
        <v>50676.84</v>
      </c>
      <c r="D100" s="51" t="n">
        <f aca="false">D93*OperatingHours*DieselPrice</f>
        <v>26593.2</v>
      </c>
      <c r="E100" s="51" t="n">
        <f aca="false">E93*OperatingHours*DieselPrice</f>
        <v>0</v>
      </c>
      <c r="F100" s="51" t="n">
        <f aca="false">F93*OperatingHours*DieselPrice</f>
        <v>37800</v>
      </c>
    </row>
    <row r="101" customFormat="false" ht="18.75" hidden="false" customHeight="true" outlineLevel="0" collapsed="false">
      <c r="A101" s="14" t="s">
        <v>458</v>
      </c>
      <c r="B101" s="41" t="s">
        <v>67</v>
      </c>
      <c r="C101" s="51" t="n">
        <f aca="false">OperatingHours*(C81+C82)</f>
        <v>48000</v>
      </c>
      <c r="D101" s="51" t="n">
        <f aca="false">OperatingHours*(D81+D82)</f>
        <v>36000</v>
      </c>
      <c r="E101" s="51" t="n">
        <f aca="false">OperatingHours*(E81+E82)</f>
        <v>48000</v>
      </c>
      <c r="F101" s="51" t="n">
        <f aca="false">OperatingHours*(F81+F82)</f>
        <v>48000</v>
      </c>
    </row>
    <row r="102" customFormat="false" ht="18.75" hidden="false" customHeight="true" outlineLevel="0" collapsed="false">
      <c r="A102" s="14" t="s">
        <v>1108</v>
      </c>
      <c r="B102" s="41" t="s">
        <v>67</v>
      </c>
      <c r="C102" s="51" t="n">
        <f aca="false">OperatingHours/PAV_HoursPerShift*C94*DieselPrice</f>
        <v>3780</v>
      </c>
      <c r="D102" s="51" t="n">
        <f aca="false">OperatingHours/PAV_HoursPerShift*D94*DieselPrice</f>
        <v>1260</v>
      </c>
      <c r="E102" s="51" t="n">
        <f aca="false">OperatingHours/PAV_HoursPerShift*E94*DieselPrice</f>
        <v>3780</v>
      </c>
      <c r="F102" s="51" t="n">
        <f aca="false">OperatingHours/PAV_HoursPerShift*F94*DieselPrice</f>
        <v>3780</v>
      </c>
    </row>
    <row r="103" customFormat="false" ht="18.75" hidden="false" customHeight="true" outlineLevel="0" collapsed="false">
      <c r="A103" s="14" t="s">
        <v>1109</v>
      </c>
      <c r="B103" s="41" t="s">
        <v>67</v>
      </c>
      <c r="C103" s="51" t="n">
        <f aca="false">C98*OperatingHours</f>
        <v>25920</v>
      </c>
      <c r="D103" s="51" t="n">
        <f aca="false">D98*OperatingHours</f>
        <v>8640</v>
      </c>
      <c r="E103" s="51" t="n">
        <f aca="false">E98*OperatingHours</f>
        <v>25920</v>
      </c>
      <c r="F103" s="51" t="n">
        <f aca="false">F98*OperatingHours</f>
        <v>25920</v>
      </c>
    </row>
    <row r="104" customFormat="false" ht="19.5" hidden="false" customHeight="true" outlineLevel="0" collapsed="false">
      <c r="A104" s="21" t="s">
        <v>462</v>
      </c>
      <c r="B104" s="4"/>
      <c r="C104" s="4"/>
      <c r="D104" s="4"/>
      <c r="E104" s="4"/>
      <c r="F104" s="4"/>
    </row>
    <row r="105" customFormat="false" ht="18.75" hidden="false" customHeight="true" outlineLevel="0" collapsed="false">
      <c r="A105" s="52" t="s">
        <v>463</v>
      </c>
      <c r="B105" s="53" t="s">
        <v>67</v>
      </c>
      <c r="C105" s="54" t="n">
        <f aca="false">C79+C100+C101+C102+C103-C83</f>
        <v>128376.84</v>
      </c>
      <c r="D105" s="54" t="n">
        <f aca="false">D79+D100+D101+D102+D103-D83</f>
        <v>72493.2</v>
      </c>
      <c r="E105" s="54" t="n">
        <f aca="false">E79+E100+E101+E102+E103-E83</f>
        <v>77700</v>
      </c>
      <c r="F105" s="54" t="n">
        <f aca="false">F79+F100+F101+F102+F103-F83</f>
        <v>115500</v>
      </c>
    </row>
    <row r="106" customFormat="false" ht="18.75" hidden="false" customHeight="true" outlineLevel="0" collapsed="false">
      <c r="A106" s="14" t="s">
        <v>464</v>
      </c>
      <c r="B106" s="41" t="s">
        <v>437</v>
      </c>
      <c r="C106" s="50" t="n">
        <f aca="false">C93*DieselPrice+C81+C82+C94/PAV_HoursPerShift*DieselPrice+C98</f>
        <v>42.79228</v>
      </c>
      <c r="D106" s="50" t="n">
        <f aca="false">D93*DieselPrice+D81+D82+D94/PAV_HoursPerShift*DieselPrice+D98</f>
        <v>24.1644</v>
      </c>
      <c r="E106" s="50" t="n">
        <f aca="false">E93*DieselPrice+E81+E82+E94/PAV_HoursPerShift*DieselPrice+E98</f>
        <v>25.9</v>
      </c>
      <c r="F106" s="50" t="n">
        <f aca="false">F93*DieselPrice+F81+F82+F94/PAV_HoursPerShift*DieselPrice+F98</f>
        <v>38.5</v>
      </c>
    </row>
    <row r="107" customFormat="false" ht="18.75" hidden="false" customHeight="true" outlineLevel="0" collapsed="false">
      <c r="A107" s="14" t="s">
        <v>465</v>
      </c>
      <c r="B107" s="41" t="s">
        <v>437</v>
      </c>
      <c r="C107" s="50" t="n">
        <f aca="false">IF(OperatingHours&gt;0,C105/OperatingHours,0)</f>
        <v>42.79228</v>
      </c>
      <c r="D107" s="50" t="n">
        <f aca="false">IF(OperatingHours&gt;0,D105/OperatingHours,0)</f>
        <v>24.1644</v>
      </c>
      <c r="E107" s="50" t="n">
        <f aca="false">IF(OperatingHours&gt;0,E105/OperatingHours,0)</f>
        <v>25.9</v>
      </c>
      <c r="F107" s="50" t="n">
        <f aca="false">IF(OperatingHours&gt;0,F105/OperatingHours,0)</f>
        <v>38.5</v>
      </c>
    </row>
    <row r="108" customFormat="false" ht="18.75" hidden="false" customHeight="true" outlineLevel="0" collapsed="false">
      <c r="A108" s="14" t="s">
        <v>466</v>
      </c>
      <c r="B108" s="41"/>
      <c r="C108" s="43" t="n">
        <f aca="false">C105*CurrencyRate</f>
        <v>128376.84</v>
      </c>
      <c r="D108" s="43" t="n">
        <f aca="false">D105*CurrencyRate</f>
        <v>72493.2</v>
      </c>
      <c r="E108" s="43" t="n">
        <f aca="false">E105*CurrencyRate</f>
        <v>77700</v>
      </c>
      <c r="F108" s="43" t="n">
        <f aca="false">F105*CurrencyRate</f>
        <v>115500</v>
      </c>
    </row>
    <row r="109" customFormat="false" ht="18.75" hidden="false" customHeight="true" outlineLevel="0" collapsed="false">
      <c r="A109" s="14" t="s">
        <v>467</v>
      </c>
      <c r="B109" s="41" t="s">
        <v>67</v>
      </c>
      <c r="C109" s="51" t="n">
        <f aca="false">IFERROR(C105-INDEX($C$105:$F$105,MATCH(PAV_Ref,$C$7:$F$7,0)),0)</f>
        <v>55883.64</v>
      </c>
      <c r="D109" s="51" t="n">
        <f aca="false">IFERROR(D105-INDEX($C$105:$F$105,MATCH(PAV_Ref,$C$7:$F$7,0)),0)</f>
        <v>0</v>
      </c>
      <c r="E109" s="51" t="n">
        <f aca="false">IFERROR(E105-INDEX($C$105:$F$105,MATCH(PAV_Ref,$C$7:$F$7,0)),0)</f>
        <v>5206.8</v>
      </c>
      <c r="F109" s="51" t="n">
        <f aca="false">IFERROR(F105-INDEX($C$105:$F$105,MATCH(PAV_Ref,$C$7:$F$7,0)),0)</f>
        <v>43006.8</v>
      </c>
    </row>
    <row r="110" customFormat="false" ht="32.25" hidden="false" customHeight="true" outlineLevel="0" collapsed="false">
      <c r="A110" s="14" t="s">
        <v>1110</v>
      </c>
      <c r="B110" s="41" t="s">
        <v>67</v>
      </c>
      <c r="C110" s="51" t="s">
        <v>212</v>
      </c>
      <c r="D110" s="51" t="n">
        <f aca="false">IFERROR(SUMPRODUCT(MAX(($C$8:$F$8&lt;&gt;"BOMAG")*$C$105:$F$105))-INDEX($C$105:$F$105,MATCH("BOMAG",$C$8:$F$8,0)),0)</f>
        <v>55883.64</v>
      </c>
      <c r="E110" s="51" t="s">
        <v>212</v>
      </c>
      <c r="F110" s="51" t="s">
        <v>212</v>
      </c>
    </row>
    <row r="111" customFormat="false" ht="19.5" hidden="false" customHeight="true" outlineLevel="0" collapsed="false">
      <c r="A111" s="21" t="s">
        <v>478</v>
      </c>
      <c r="B111" s="4"/>
      <c r="C111" s="4"/>
      <c r="D111" s="4"/>
      <c r="E111" s="4"/>
      <c r="F111" s="4"/>
    </row>
    <row r="112" customFormat="false" ht="15" hidden="false" customHeight="false" outlineLevel="0" collapsed="false">
      <c r="A112" s="14" t="s">
        <v>479</v>
      </c>
      <c r="B112" s="55" t="n">
        <v>0</v>
      </c>
      <c r="C112" s="56" t="n">
        <f aca="false">C$79+$B112*C$106-C$83</f>
        <v>0</v>
      </c>
      <c r="D112" s="56" t="n">
        <f aca="false">D$79+$B112*D$106-D$83</f>
        <v>0</v>
      </c>
      <c r="E112" s="56" t="n">
        <f aca="false">E$79+$B112*E$106-E$83</f>
        <v>0</v>
      </c>
      <c r="F112" s="56" t="n">
        <f aca="false">F$79+$B112*F$106-F$83</f>
        <v>0</v>
      </c>
    </row>
    <row r="113" customFormat="false" ht="15" hidden="false" customHeight="false" outlineLevel="0" collapsed="false">
      <c r="A113" s="14" t="s">
        <v>479</v>
      </c>
      <c r="B113" s="55" t="n">
        <v>1000</v>
      </c>
      <c r="C113" s="56" t="n">
        <f aca="false">C$79+$B113*C$106-C$83</f>
        <v>42792.28</v>
      </c>
      <c r="D113" s="56" t="n">
        <f aca="false">D$79+$B113*D$106-D$83</f>
        <v>24164.4</v>
      </c>
      <c r="E113" s="56" t="n">
        <f aca="false">E$79+$B113*E$106-E$83</f>
        <v>25900</v>
      </c>
      <c r="F113" s="56" t="n">
        <f aca="false">F$79+$B113*F$106-F$83</f>
        <v>38500</v>
      </c>
    </row>
    <row r="114" customFormat="false" ht="15" hidden="false" customHeight="false" outlineLevel="0" collapsed="false">
      <c r="A114" s="14" t="s">
        <v>479</v>
      </c>
      <c r="B114" s="55" t="n">
        <v>1500</v>
      </c>
      <c r="C114" s="56" t="n">
        <f aca="false">C$79+$B114*C$106-C$83</f>
        <v>64188.42</v>
      </c>
      <c r="D114" s="56" t="n">
        <f aca="false">D$79+$B114*D$106-D$83</f>
        <v>36246.6</v>
      </c>
      <c r="E114" s="56" t="n">
        <f aca="false">E$79+$B114*E$106-E$83</f>
        <v>38850</v>
      </c>
      <c r="F114" s="56" t="n">
        <f aca="false">F$79+$B114*F$106-F$83</f>
        <v>57750</v>
      </c>
    </row>
    <row r="115" customFormat="false" ht="15" hidden="false" customHeight="false" outlineLevel="0" collapsed="false">
      <c r="A115" s="14" t="s">
        <v>479</v>
      </c>
      <c r="B115" s="55" t="n">
        <v>2000</v>
      </c>
      <c r="C115" s="56" t="n">
        <f aca="false">C$79+$B115*C$106-C$83</f>
        <v>85584.56</v>
      </c>
      <c r="D115" s="56" t="n">
        <f aca="false">D$79+$B115*D$106-D$83</f>
        <v>48328.8</v>
      </c>
      <c r="E115" s="56" t="n">
        <f aca="false">E$79+$B115*E$106-E$83</f>
        <v>51800</v>
      </c>
      <c r="F115" s="56" t="n">
        <f aca="false">F$79+$B115*F$106-F$83</f>
        <v>77000</v>
      </c>
    </row>
    <row r="116" customFormat="false" ht="15" hidden="false" customHeight="false" outlineLevel="0" collapsed="false">
      <c r="A116" s="14" t="s">
        <v>479</v>
      </c>
      <c r="B116" s="55" t="n">
        <v>2500</v>
      </c>
      <c r="C116" s="56" t="n">
        <f aca="false">C$79+$B116*C$106-C$83</f>
        <v>106980.7</v>
      </c>
      <c r="D116" s="56" t="n">
        <f aca="false">D$79+$B116*D$106-D$83</f>
        <v>60411</v>
      </c>
      <c r="E116" s="56" t="n">
        <f aca="false">E$79+$B116*E$106-E$83</f>
        <v>64750</v>
      </c>
      <c r="F116" s="56" t="n">
        <f aca="false">F$79+$B116*F$106-F$83</f>
        <v>96250</v>
      </c>
    </row>
    <row r="117" customFormat="false" ht="15" hidden="false" customHeight="false" outlineLevel="0" collapsed="false">
      <c r="A117" s="14" t="s">
        <v>479</v>
      </c>
      <c r="B117" s="55" t="n">
        <v>3000</v>
      </c>
      <c r="C117" s="56" t="n">
        <f aca="false">C$79+$B117*C$106-C$83</f>
        <v>128376.84</v>
      </c>
      <c r="D117" s="56" t="n">
        <f aca="false">D$79+$B117*D$106-D$83</f>
        <v>72493.2</v>
      </c>
      <c r="E117" s="56" t="n">
        <f aca="false">E$79+$B117*E$106-E$83</f>
        <v>77700</v>
      </c>
      <c r="F117" s="56" t="n">
        <f aca="false">F$79+$B117*F$106-F$83</f>
        <v>115500</v>
      </c>
    </row>
    <row r="118" customFormat="false" ht="15" hidden="false" customHeight="false" outlineLevel="0" collapsed="false">
      <c r="A118" s="14" t="s">
        <v>479</v>
      </c>
      <c r="B118" s="55" t="n">
        <v>4000</v>
      </c>
      <c r="C118" s="56" t="n">
        <f aca="false">C$79+$B118*C$106-C$83</f>
        <v>171169.12</v>
      </c>
      <c r="D118" s="56" t="n">
        <f aca="false">D$79+$B118*D$106-D$83</f>
        <v>96657.6</v>
      </c>
      <c r="E118" s="56" t="n">
        <f aca="false">E$79+$B118*E$106-E$83</f>
        <v>103600</v>
      </c>
      <c r="F118" s="56" t="n">
        <f aca="false">F$79+$B118*F$106-F$83</f>
        <v>154000</v>
      </c>
    </row>
    <row r="119" customFormat="false" ht="15" hidden="false" customHeight="false" outlineLevel="0" collapsed="false">
      <c r="A119" s="14" t="s">
        <v>479</v>
      </c>
      <c r="B119" s="55" t="n">
        <v>5000</v>
      </c>
      <c r="C119" s="56" t="n">
        <f aca="false">C$79+$B119*C$106-C$83</f>
        <v>213961.4</v>
      </c>
      <c r="D119" s="56" t="n">
        <f aca="false">D$79+$B119*D$106-D$83</f>
        <v>120822</v>
      </c>
      <c r="E119" s="56" t="n">
        <f aca="false">E$79+$B119*E$106-E$83</f>
        <v>129500</v>
      </c>
      <c r="F119" s="56" t="n">
        <f aca="false">F$79+$B119*F$106-F$83</f>
        <v>192500</v>
      </c>
    </row>
    <row r="120" customFormat="false" ht="15" hidden="false" customHeight="false" outlineLevel="0" collapsed="false">
      <c r="A120" s="14" t="s">
        <v>479</v>
      </c>
      <c r="B120" s="55" t="n">
        <v>6000</v>
      </c>
      <c r="C120" s="56" t="n">
        <f aca="false">C$79+$B120*C$106-C$83</f>
        <v>256753.68</v>
      </c>
      <c r="D120" s="56" t="n">
        <f aca="false">D$79+$B120*D$106-D$83</f>
        <v>144986.4</v>
      </c>
      <c r="E120" s="56" t="n">
        <f aca="false">E$79+$B120*E$106-E$83</f>
        <v>155400</v>
      </c>
      <c r="F120" s="56" t="n">
        <f aca="false">F$79+$B120*F$106-F$83</f>
        <v>231000</v>
      </c>
    </row>
    <row r="121" customFormat="false" ht="15" hidden="false" customHeight="false" outlineLevel="0" collapsed="false">
      <c r="A121" s="14" t="s">
        <v>479</v>
      </c>
      <c r="B121" s="55" t="n">
        <v>7000</v>
      </c>
      <c r="C121" s="56" t="n">
        <f aca="false">C$79+$B121*C$106-C$83</f>
        <v>299545.96</v>
      </c>
      <c r="D121" s="56" t="n">
        <f aca="false">D$79+$B121*D$106-D$83</f>
        <v>169150.8</v>
      </c>
      <c r="E121" s="56" t="n">
        <f aca="false">E$79+$B121*E$106-E$83</f>
        <v>181300</v>
      </c>
      <c r="F121" s="56" t="n">
        <f aca="false">F$79+$B121*F$106-F$83</f>
        <v>269500</v>
      </c>
    </row>
    <row r="122" customFormat="false" ht="15" hidden="false" customHeight="false" outlineLevel="0" collapsed="false">
      <c r="A122" s="14" t="s">
        <v>479</v>
      </c>
      <c r="B122" s="55" t="n">
        <v>8000</v>
      </c>
      <c r="C122" s="56" t="n">
        <f aca="false">C$79+$B122*C$106-C$83</f>
        <v>342338.24</v>
      </c>
      <c r="D122" s="56" t="n">
        <f aca="false">D$79+$B122*D$106-D$83</f>
        <v>193315.2</v>
      </c>
      <c r="E122" s="56" t="n">
        <f aca="false">E$79+$B122*E$106-E$83</f>
        <v>207200</v>
      </c>
      <c r="F122" s="56" t="n">
        <f aca="false">F$79+$B122*F$106-F$83</f>
        <v>308000</v>
      </c>
    </row>
    <row r="123" customFormat="false" ht="15" hidden="false" customHeight="false" outlineLevel="0" collapsed="false">
      <c r="A123" s="14" t="s">
        <v>479</v>
      </c>
      <c r="B123" s="55" t="n">
        <v>9000</v>
      </c>
      <c r="C123" s="56" t="n">
        <f aca="false">C$79+$B123*C$106-C$83</f>
        <v>385130.52</v>
      </c>
      <c r="D123" s="56" t="n">
        <f aca="false">D$79+$B123*D$106-D$83</f>
        <v>217479.6</v>
      </c>
      <c r="E123" s="56" t="n">
        <f aca="false">E$79+$B123*E$106-E$83</f>
        <v>233100</v>
      </c>
      <c r="F123" s="56" t="n">
        <f aca="false">F$79+$B123*F$106-F$83</f>
        <v>346500</v>
      </c>
    </row>
    <row r="124" customFormat="false" ht="15" hidden="false" customHeight="false" outlineLevel="0" collapsed="false">
      <c r="A124" s="14" t="s">
        <v>479</v>
      </c>
      <c r="B124" s="55" t="n">
        <v>10000</v>
      </c>
      <c r="C124" s="56" t="n">
        <f aca="false">C$79+$B124*C$106-C$83</f>
        <v>427922.8</v>
      </c>
      <c r="D124" s="56" t="n">
        <f aca="false">D$79+$B124*D$106-D$83</f>
        <v>241644</v>
      </c>
      <c r="E124" s="56" t="n">
        <f aca="false">E$79+$B124*E$106-E$83</f>
        <v>259000</v>
      </c>
      <c r="F124" s="56" t="n">
        <f aca="false">F$79+$B124*F$106-F$83</f>
        <v>385000</v>
      </c>
    </row>
  </sheetData>
  <dataValidations count="5">
    <dataValidation allowBlank="false" errorStyle="stop" operator="between" showDropDown="false" showErrorMessage="false" showInputMessage="false" sqref="O5" type="list">
      <formula1>IDS_PAVERS</formula1>
      <formula2>0</formula2>
    </dataValidation>
    <dataValidation allowBlank="false" errorStyle="stop" operator="between" showDropDown="false" showErrorMessage="false" showInputMessage="false" sqref="C84:F84" type="list">
      <formula1>"YES,NO"</formula1>
      <formula2>0</formula2>
    </dataValidation>
    <dataValidation allowBlank="false" errorStyle="stop" operator="between" showDropDown="false" showErrorMessage="false" showInputMessage="false" sqref="C85:F85" type="list">
      <formula1>"YES,NO"</formula1>
      <formula2>0</formula2>
    </dataValidation>
    <dataValidation allowBlank="false" errorStyle="stop" operator="between" showDropDown="false" showErrorMessage="false" showInputMessage="false" sqref="C86:F86" type="list">
      <formula1>"YES,NO"</formula1>
      <formula2>0</formula2>
    </dataValidation>
    <dataValidation allowBlank="false" errorStyle="stop" operator="between" showDropDown="false" showErrorMessage="false" showInputMessage="false" sqref="C87:F87" type="list">
      <formula1>"YES,NO"</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&amp;LBOMAG Compare Hub&amp;R&amp;P / &amp;N</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686D"/>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6" min="3" style="0" width="30"/>
  </cols>
  <sheetData>
    <row r="1" customFormat="false" ht="30" hidden="false" customHeight="true" outlineLevel="0" collapsed="false">
      <c r="A1" s="1" t="s">
        <v>1111</v>
      </c>
      <c r="B1" s="2"/>
      <c r="C1" s="2"/>
      <c r="D1" s="2"/>
      <c r="E1" s="2"/>
      <c r="F1" s="2"/>
    </row>
    <row r="2" customFormat="false" ht="18" hidden="false" customHeight="true" outlineLevel="0" collapsed="false">
      <c r="A2" s="3" t="s">
        <v>1112</v>
      </c>
      <c r="B2" s="2"/>
      <c r="C2" s="2"/>
      <c r="D2" s="2"/>
      <c r="E2" s="2"/>
      <c r="F2" s="2"/>
    </row>
    <row r="4" customFormat="false" ht="15" hidden="false" customHeight="false" outlineLevel="0" collapsed="false">
      <c r="A4" s="18" t="s">
        <v>1113</v>
      </c>
      <c r="B4" s="11"/>
      <c r="C4" s="27" t="s">
        <v>1114</v>
      </c>
    </row>
    <row r="5" customFormat="false" ht="30" hidden="false" customHeight="true" outlineLevel="0" collapsed="false">
      <c r="A5" s="35" t="s">
        <v>1115</v>
      </c>
      <c r="B5" s="36"/>
      <c r="C5" s="27" t="s">
        <v>94</v>
      </c>
      <c r="D5" s="27" t="s">
        <v>109</v>
      </c>
      <c r="E5" s="27" t="s">
        <v>110</v>
      </c>
      <c r="F5" s="27" t="s">
        <v>112</v>
      </c>
    </row>
    <row r="6" customFormat="false" ht="15" hidden="false" customHeight="false" outlineLevel="0" collapsed="false">
      <c r="A6" s="11" t="s">
        <v>1116</v>
      </c>
      <c r="B6" s="41"/>
      <c r="C6" s="62" t="str">
        <f aca="true">IF(C$5="","",IFERROR(INDEX(INDIRECT("'"&amp;$C$4&amp;"'!$A$1:$BZ$400"),MATCH("BRAND",INDIRECT("'"&amp;$C$4&amp;"'!$A$1:$A$400"),0),MATCH(C$5,INDIRECT("'"&amp;$C$4&amp;"'!$A$7:$BZ$7"),0)),"-"))</f>
        <v>BOMAG</v>
      </c>
      <c r="D6" s="62" t="str">
        <f aca="true">IF(D$5="","",IFERROR(INDEX(INDIRECT("'"&amp;$C$4&amp;"'!$A$1:$BZ$400"),MATCH("BRAND",INDIRECT("'"&amp;$C$4&amp;"'!$A$1:$A$400"),0),MATCH(D$5,INDIRECT("'"&amp;$C$4&amp;"'!$A$7:$BZ$7"),0)),"-"))</f>
        <v>DYNAPAC</v>
      </c>
      <c r="E6" s="62" t="str">
        <f aca="true">IF(E$5="","",IFERROR(INDEX(INDIRECT("'"&amp;$C$4&amp;"'!$A$1:$BZ$400"),MATCH("BRAND",INDIRECT("'"&amp;$C$4&amp;"'!$A$1:$A$400"),0),MATCH(E$5,INDIRECT("'"&amp;$C$4&amp;"'!$A$7:$BZ$7"),0)),"-"))</f>
        <v>DYNAPAC</v>
      </c>
      <c r="F6" s="62" t="str">
        <f aca="true">IF(F$5="","",IFERROR(INDEX(INDIRECT("'"&amp;$C$4&amp;"'!$A$1:$BZ$400"),MATCH("BRAND",INDIRECT("'"&amp;$C$4&amp;"'!$A$1:$A$400"),0),MATCH(F$5,INDIRECT("'"&amp;$C$4&amp;"'!$A$7:$BZ$7"),0)),"-"))</f>
        <v>DYNAPAC</v>
      </c>
    </row>
    <row r="7" customFormat="false" ht="15" hidden="false" customHeight="false" outlineLevel="0" collapsed="false">
      <c r="A7" s="11" t="s">
        <v>1117</v>
      </c>
      <c r="B7" s="41"/>
      <c r="C7" s="62" t="str">
        <f aca="true">IF(C$5="","",IFERROR(INDEX(INDIRECT("'"&amp;$C$4&amp;"'!$A$1:$BZ$400"),MATCH("MODEL",INDIRECT("'"&amp;$C$4&amp;"'!$A$1:$A$400"),0),MATCH(C$5,INDIRECT("'"&amp;$C$4&amp;"'!$A$7:$BZ$7"),0)),"-"))</f>
        <v>BW211 D-5 SL</v>
      </c>
      <c r="D7" s="62" t="str">
        <f aca="true">IF(D$5="","",IFERROR(INDEX(INDIRECT("'"&amp;$C$4&amp;"'!$A$1:$BZ$400"),MATCH("MODEL",INDIRECT("'"&amp;$C$4&amp;"'!$A$1:$A$400"),0),MATCH(D$5,INDIRECT("'"&amp;$C$4&amp;"'!$A$7:$BZ$7"),0)),"-"))</f>
        <v>CA25 D-Rhino</v>
      </c>
      <c r="E7" s="62" t="str">
        <f aca="true">IF(E$5="","",IFERROR(INDEX(INDIRECT("'"&amp;$C$4&amp;"'!$A$1:$BZ$400"),MATCH("MODEL",INDIRECT("'"&amp;$C$4&amp;"'!$A$1:$A$400"),0),MATCH(E$5,INDIRECT("'"&amp;$C$4&amp;"'!$A$7:$BZ$7"),0)),"-"))</f>
        <v>CA35 D-Rhino</v>
      </c>
      <c r="F7" s="62" t="str">
        <f aca="true">IF(F$5="","",IFERROR(INDEX(INDIRECT("'"&amp;$C$4&amp;"'!$A$1:$BZ$400"),MATCH("MODEL",INDIRECT("'"&amp;$C$4&amp;"'!$A$1:$A$400"),0),MATCH(F$5,INDIRECT("'"&amp;$C$4&amp;"'!$A$7:$BZ$7"),0)),"-"))</f>
        <v>CA3500D</v>
      </c>
    </row>
    <row r="8" customFormat="false" ht="15" hidden="false" customHeight="false" outlineLevel="0" collapsed="false">
      <c r="A8" s="11" t="s">
        <v>433</v>
      </c>
      <c r="B8" s="41" t="s">
        <v>67</v>
      </c>
      <c r="C8" s="59" t="n">
        <f aca="true">IF(C$5="","",IFERROR(INDEX(INDIRECT("'"&amp;$C$4&amp;"'!$A$1:$BZ$400"),MATCH("CIF price (USD)",INDIRECT("'"&amp;$C$4&amp;"'!$A$1:$A$400"),0),MATCH(C$5,INDIRECT("'"&amp;$C$4&amp;"'!$A$7:$BZ$7"),0)),"-"))</f>
        <v>57592.78</v>
      </c>
      <c r="D8" s="59" t="n">
        <f aca="true">IF(D$5="","",IFERROR(INDEX(INDIRECT("'"&amp;$C$4&amp;"'!$A$1:$BZ$400"),MATCH("CIF price (USD)",INDIRECT("'"&amp;$C$4&amp;"'!$A$1:$A$400"),0),MATCH(D$5,INDIRECT("'"&amp;$C$4&amp;"'!$A$7:$BZ$7"),0)),"-"))</f>
        <v>90000</v>
      </c>
      <c r="E8" s="59" t="n">
        <f aca="true">IF(E$5="","",IFERROR(INDEX(INDIRECT("'"&amp;$C$4&amp;"'!$A$1:$BZ$400"),MATCH("CIF price (USD)",INDIRECT("'"&amp;$C$4&amp;"'!$A$1:$A$400"),0),MATCH(E$5,INDIRECT("'"&amp;$C$4&amp;"'!$A$7:$BZ$7"),0)),"-"))</f>
        <v>90000</v>
      </c>
      <c r="F8" s="59" t="n">
        <f aca="true">IF(F$5="","",IFERROR(INDEX(INDIRECT("'"&amp;$C$4&amp;"'!$A$1:$BZ$400"),MATCH("CIF price (USD)",INDIRECT("'"&amp;$C$4&amp;"'!$A$1:$A$400"),0),MATCH(F$5,INDIRECT("'"&amp;$C$4&amp;"'!$A$7:$BZ$7"),0)),"-"))</f>
        <v>90000</v>
      </c>
    </row>
    <row r="9" customFormat="false" ht="15" hidden="false" customHeight="false" outlineLevel="0" collapsed="false">
      <c r="A9" s="11" t="s">
        <v>1102</v>
      </c>
      <c r="B9" s="41" t="s">
        <v>435</v>
      </c>
      <c r="C9" s="77" t="n">
        <f aca="true">IF(C$5="","",IFERROR(INDEX(INDIRECT("'"&amp;$C$4&amp;"'!$A$1:$BZ$400"),MATCH("Effective consumption (L/h)",INDIRECT("'"&amp;$C$4&amp;"'!$A$1:$A$400"),0),MATCH(C$5,INDIRECT("'"&amp;$C$4&amp;"'!$A$7:$BZ$7"),0)),IFERROR(INDEX(INDIRECT("'"&amp;$C$4&amp;"'!$A$1:$BZ$400"),MATCH("Fuel consumption (L/h)",INDIRECT("'"&amp;$C$4&amp;"'!$A$1:$A$400"),0),MATCH(C$5,INDIRECT("'"&amp;$C$4&amp;"'!$A$7:$BZ$7"),0)),"-")))</f>
        <v>11.8</v>
      </c>
      <c r="D9" s="77" t="n">
        <f aca="true">IF(D$5="","",IFERROR(INDEX(INDIRECT("'"&amp;$C$4&amp;"'!$A$1:$BZ$400"),MATCH("Effective consumption (L/h)",INDIRECT("'"&amp;$C$4&amp;"'!$A$1:$A$400"),0),MATCH(D$5,INDIRECT("'"&amp;$C$4&amp;"'!$A$7:$BZ$7"),0)),IFERROR(INDEX(INDIRECT("'"&amp;$C$4&amp;"'!$A$1:$BZ$400"),MATCH("Fuel consumption (L/h)",INDIRECT("'"&amp;$C$4&amp;"'!$A$1:$A$400"),0),MATCH(D$5,INDIRECT("'"&amp;$C$4&amp;"'!$A$7:$BZ$7"),0)),"-")))</f>
        <v>13.6</v>
      </c>
      <c r="E9" s="77" t="n">
        <f aca="true">IF(E$5="","",IFERROR(INDEX(INDIRECT("'"&amp;$C$4&amp;"'!$A$1:$BZ$400"),MATCH("Effective consumption (L/h)",INDIRECT("'"&amp;$C$4&amp;"'!$A$1:$A$400"),0),MATCH(E$5,INDIRECT("'"&amp;$C$4&amp;"'!$A$7:$BZ$7"),0)),IFERROR(INDEX(INDIRECT("'"&amp;$C$4&amp;"'!$A$1:$BZ$400"),MATCH("Fuel consumption (L/h)",INDIRECT("'"&amp;$C$4&amp;"'!$A$1:$A$400"),0),MATCH(E$5,INDIRECT("'"&amp;$C$4&amp;"'!$A$7:$BZ$7"),0)),"-")))</f>
        <v>13.6</v>
      </c>
      <c r="F9" s="77" t="n">
        <f aca="true">IF(F$5="","",IFERROR(INDEX(INDIRECT("'"&amp;$C$4&amp;"'!$A$1:$BZ$400"),MATCH("Effective consumption (L/h)",INDIRECT("'"&amp;$C$4&amp;"'!$A$1:$A$400"),0),MATCH(F$5,INDIRECT("'"&amp;$C$4&amp;"'!$A$7:$BZ$7"),0)),IFERROR(INDEX(INDIRECT("'"&amp;$C$4&amp;"'!$A$1:$BZ$400"),MATCH("Fuel consumption (L/h)",INDIRECT("'"&amp;$C$4&amp;"'!$A$1:$A$400"),0),MATCH(F$5,INDIRECT("'"&amp;$C$4&amp;"'!$A$7:$BZ$7"),0)),"-")))</f>
        <v>13.6</v>
      </c>
    </row>
    <row r="10" customFormat="false" ht="15" hidden="false" customHeight="false" outlineLevel="0" collapsed="false">
      <c r="A10" s="11" t="s">
        <v>436</v>
      </c>
      <c r="B10" s="41" t="s">
        <v>437</v>
      </c>
      <c r="C10" s="69" t="n">
        <f aca="true">IF(C$5="","",IFERROR(INDEX(INDIRECT("'"&amp;$C$4&amp;"'!$A$1:$BZ$400"),MATCH("Effective preventive maintenance (USD/h)",INDIRECT("'"&amp;$C$4&amp;"'!$A$1:$A$400"),0),MATCH(C$5,INDIRECT("'"&amp;$C$4&amp;"'!$A$7:$BZ$7"),0)),IFERROR(INDEX(INDIRECT("'"&amp;$C$4&amp;"'!$A$1:$BZ$400"),MATCH("Preventive maintenance (USD/h)",INDIRECT("'"&amp;$C$4&amp;"'!$A$1:$A$400"),0),MATCH(C$5,INDIRECT("'"&amp;$C$4&amp;"'!$A$7:$BZ$7"),0)),"-")))</f>
        <v>1</v>
      </c>
      <c r="D10" s="69" t="n">
        <f aca="true">IF(D$5="","",IFERROR(INDEX(INDIRECT("'"&amp;$C$4&amp;"'!$A$1:$BZ$400"),MATCH("Effective preventive maintenance (USD/h)",INDIRECT("'"&amp;$C$4&amp;"'!$A$1:$A$400"),0),MATCH(D$5,INDIRECT("'"&amp;$C$4&amp;"'!$A$7:$BZ$7"),0)),IFERROR(INDEX(INDIRECT("'"&amp;$C$4&amp;"'!$A$1:$BZ$400"),MATCH("Preventive maintenance (USD/h)",INDIRECT("'"&amp;$C$4&amp;"'!$A$1:$A$400"),0),MATCH(D$5,INDIRECT("'"&amp;$C$4&amp;"'!$A$7:$BZ$7"),0)),"-")))</f>
        <v>1</v>
      </c>
      <c r="E10" s="69" t="n">
        <f aca="true">IF(E$5="","",IFERROR(INDEX(INDIRECT("'"&amp;$C$4&amp;"'!$A$1:$BZ$400"),MATCH("Effective preventive maintenance (USD/h)",INDIRECT("'"&amp;$C$4&amp;"'!$A$1:$A$400"),0),MATCH(E$5,INDIRECT("'"&amp;$C$4&amp;"'!$A$7:$BZ$7"),0)),IFERROR(INDEX(INDIRECT("'"&amp;$C$4&amp;"'!$A$1:$BZ$400"),MATCH("Preventive maintenance (USD/h)",INDIRECT("'"&amp;$C$4&amp;"'!$A$1:$A$400"),0),MATCH(E$5,INDIRECT("'"&amp;$C$4&amp;"'!$A$7:$BZ$7"),0)),"-")))</f>
        <v>1</v>
      </c>
      <c r="F10" s="69" t="n">
        <f aca="true">IF(F$5="","",IFERROR(INDEX(INDIRECT("'"&amp;$C$4&amp;"'!$A$1:$BZ$400"),MATCH("Effective preventive maintenance (USD/h)",INDIRECT("'"&amp;$C$4&amp;"'!$A$1:$A$400"),0),MATCH(F$5,INDIRECT("'"&amp;$C$4&amp;"'!$A$7:$BZ$7"),0)),IFERROR(INDEX(INDIRECT("'"&amp;$C$4&amp;"'!$A$1:$BZ$400"),MATCH("Preventive maintenance (USD/h)",INDIRECT("'"&amp;$C$4&amp;"'!$A$1:$A$400"),0),MATCH(F$5,INDIRECT("'"&amp;$C$4&amp;"'!$A$7:$BZ$7"),0)),"-")))</f>
        <v>1</v>
      </c>
    </row>
    <row r="11" customFormat="false" ht="15" hidden="false" customHeight="false" outlineLevel="0" collapsed="false">
      <c r="A11" s="11" t="s">
        <v>438</v>
      </c>
      <c r="B11" s="41" t="s">
        <v>437</v>
      </c>
      <c r="C11" s="69" t="n">
        <f aca="true">IF(C$5="","",IFERROR(INDEX(INDIRECT("'"&amp;$C$4&amp;"'!$A$1:$BZ$400"),MATCH("Effective corrective maintenance (USD/h)",INDIRECT("'"&amp;$C$4&amp;"'!$A$1:$A$400"),0),MATCH(C$5,INDIRECT("'"&amp;$C$4&amp;"'!$A$7:$BZ$7"),0)),IFERROR(INDEX(INDIRECT("'"&amp;$C$4&amp;"'!$A$1:$BZ$400"),MATCH("Corrective maintenance (USD/h)",INDIRECT("'"&amp;$C$4&amp;"'!$A$1:$A$400"),0),MATCH(C$5,INDIRECT("'"&amp;$C$4&amp;"'!$A$7:$BZ$7"),0)),"-")))</f>
        <v>2</v>
      </c>
      <c r="D11" s="69" t="n">
        <f aca="true">IF(D$5="","",IFERROR(INDEX(INDIRECT("'"&amp;$C$4&amp;"'!$A$1:$BZ$400"),MATCH("Effective corrective maintenance (USD/h)",INDIRECT("'"&amp;$C$4&amp;"'!$A$1:$A$400"),0),MATCH(D$5,INDIRECT("'"&amp;$C$4&amp;"'!$A$7:$BZ$7"),0)),IFERROR(INDEX(INDIRECT("'"&amp;$C$4&amp;"'!$A$1:$BZ$400"),MATCH("Corrective maintenance (USD/h)",INDIRECT("'"&amp;$C$4&amp;"'!$A$1:$A$400"),0),MATCH(D$5,INDIRECT("'"&amp;$C$4&amp;"'!$A$7:$BZ$7"),0)),"-")))</f>
        <v>2</v>
      </c>
      <c r="E11" s="69" t="n">
        <f aca="true">IF(E$5="","",IFERROR(INDEX(INDIRECT("'"&amp;$C$4&amp;"'!$A$1:$BZ$400"),MATCH("Effective corrective maintenance (USD/h)",INDIRECT("'"&amp;$C$4&amp;"'!$A$1:$A$400"),0),MATCH(E$5,INDIRECT("'"&amp;$C$4&amp;"'!$A$7:$BZ$7"),0)),IFERROR(INDEX(INDIRECT("'"&amp;$C$4&amp;"'!$A$1:$BZ$400"),MATCH("Corrective maintenance (USD/h)",INDIRECT("'"&amp;$C$4&amp;"'!$A$1:$A$400"),0),MATCH(E$5,INDIRECT("'"&amp;$C$4&amp;"'!$A$7:$BZ$7"),0)),"-")))</f>
        <v>2</v>
      </c>
      <c r="F11" s="69" t="n">
        <f aca="true">IF(F$5="","",IFERROR(INDEX(INDIRECT("'"&amp;$C$4&amp;"'!$A$1:$BZ$400"),MATCH("Effective corrective maintenance (USD/h)",INDIRECT("'"&amp;$C$4&amp;"'!$A$1:$A$400"),0),MATCH(F$5,INDIRECT("'"&amp;$C$4&amp;"'!$A$7:$BZ$7"),0)),IFERROR(INDEX(INDIRECT("'"&amp;$C$4&amp;"'!$A$1:$BZ$400"),MATCH("Corrective maintenance (USD/h)",INDIRECT("'"&amp;$C$4&amp;"'!$A$1:$A$400"),0),MATCH(F$5,INDIRECT("'"&amp;$C$4&amp;"'!$A$7:$BZ$7"),0)),"-")))</f>
        <v>2</v>
      </c>
    </row>
    <row r="12" customFormat="false" ht="15" hidden="false" customHeight="false" outlineLevel="0" collapsed="false">
      <c r="A12" s="11" t="s">
        <v>1118</v>
      </c>
      <c r="B12" s="41" t="s">
        <v>446</v>
      </c>
      <c r="C12" s="71" t="n">
        <f aca="true">IF(C$5="","",IFERROR(INDEX(INDIRECT("'"&amp;$C$4&amp;"'!$A$1:$BZ$400"),MATCH("Efficiency-adjusted performance (m³/h)",INDIRECT("'"&amp;$C$4&amp;"'!$A$1:$A$400"),0),MATCH(C$5,INDIRECT("'"&amp;$C$4&amp;"'!$A$7:$BZ$7"),0)),IFERROR(INDEX(INDIRECT("'"&amp;$C$4&amp;"'!$A$1:$BZ$400"),MATCH("Conveying capacity (m³/h)",INDIRECT("'"&amp;$C$4&amp;"'!$A$1:$A$400"),0),MATCH(C$5,INDIRECT("'"&amp;$C$4&amp;"'!$A$7:$BZ$7"),0)),"-")))</f>
        <v>417</v>
      </c>
      <c r="D12" s="71" t="n">
        <f aca="true">IF(D$5="","",IFERROR(INDEX(INDIRECT("'"&amp;$C$4&amp;"'!$A$1:$BZ$400"),MATCH("Efficiency-adjusted performance (m³/h)",INDIRECT("'"&amp;$C$4&amp;"'!$A$1:$A$400"),0),MATCH(D$5,INDIRECT("'"&amp;$C$4&amp;"'!$A$7:$BZ$7"),0)),IFERROR(INDEX(INDIRECT("'"&amp;$C$4&amp;"'!$A$1:$BZ$400"),MATCH("Conveying capacity (m³/h)",INDIRECT("'"&amp;$C$4&amp;"'!$A$1:$A$400"),0),MATCH(D$5,INDIRECT("'"&amp;$C$4&amp;"'!$A$7:$BZ$7"),0)),"-")))</f>
        <v>387</v>
      </c>
      <c r="E12" s="71" t="n">
        <f aca="true">IF(E$5="","",IFERROR(INDEX(INDIRECT("'"&amp;$C$4&amp;"'!$A$1:$BZ$400"),MATCH("Efficiency-adjusted performance (m³/h)",INDIRECT("'"&amp;$C$4&amp;"'!$A$1:$A$400"),0),MATCH(E$5,INDIRECT("'"&amp;$C$4&amp;"'!$A$7:$BZ$7"),0)),IFERROR(INDEX(INDIRECT("'"&amp;$C$4&amp;"'!$A$1:$BZ$400"),MATCH("Conveying capacity (m³/h)",INDIRECT("'"&amp;$C$4&amp;"'!$A$1:$A$400"),0),MATCH(E$5,INDIRECT("'"&amp;$C$4&amp;"'!$A$7:$BZ$7"),0)),"-")))</f>
        <v>540</v>
      </c>
      <c r="F12" s="71" t="n">
        <f aca="true">IF(F$5="","",IFERROR(INDEX(INDIRECT("'"&amp;$C$4&amp;"'!$A$1:$BZ$400"),MATCH("Efficiency-adjusted performance (m³/h)",INDIRECT("'"&amp;$C$4&amp;"'!$A$1:$A$400"),0),MATCH(F$5,INDIRECT("'"&amp;$C$4&amp;"'!$A$7:$BZ$7"),0)),IFERROR(INDEX(INDIRECT("'"&amp;$C$4&amp;"'!$A$1:$BZ$400"),MATCH("Conveying capacity (m³/h)",INDIRECT("'"&amp;$C$4&amp;"'!$A$1:$A$400"),0),MATCH(F$5,INDIRECT("'"&amp;$C$4&amp;"'!$A$7:$BZ$7"),0)),"-")))</f>
        <v>800</v>
      </c>
    </row>
    <row r="13" customFormat="false" ht="15" hidden="false" customHeight="false" outlineLevel="0" collapsed="false">
      <c r="A13" s="11" t="s">
        <v>453</v>
      </c>
      <c r="B13" s="41" t="s">
        <v>61</v>
      </c>
      <c r="C13" s="58" t="n">
        <f aca="true">IF(C$5="","",IFERROR(INDEX(INDIRECT("'"&amp;$C$4&amp;"'!$A$1:$BZ$400"),MATCH("Hours for the volume (h)",INDIRECT("'"&amp;$C$4&amp;"'!$A$1:$A$400"),0),MATCH(C$5,INDIRECT("'"&amp;$C$4&amp;"'!$A$7:$BZ$7"),0)),"-"))</f>
        <v>0</v>
      </c>
      <c r="D13" s="58" t="n">
        <f aca="true">IF(D$5="","",IFERROR(INDEX(INDIRECT("'"&amp;$C$4&amp;"'!$A$1:$BZ$400"),MATCH("Hours for the volume (h)",INDIRECT("'"&amp;$C$4&amp;"'!$A$1:$A$400"),0),MATCH(D$5,INDIRECT("'"&amp;$C$4&amp;"'!$A$7:$BZ$7"),0)),"-"))</f>
        <v>0</v>
      </c>
      <c r="E13" s="58" t="n">
        <f aca="true">IF(E$5="","",IFERROR(INDEX(INDIRECT("'"&amp;$C$4&amp;"'!$A$1:$BZ$400"),MATCH("Hours for the volume (h)",INDIRECT("'"&amp;$C$4&amp;"'!$A$1:$A$400"),0),MATCH(E$5,INDIRECT("'"&amp;$C$4&amp;"'!$A$7:$BZ$7"),0)),"-"))</f>
        <v>0</v>
      </c>
      <c r="F13" s="58" t="n">
        <f aca="true">IF(F$5="","",IFERROR(INDEX(INDIRECT("'"&amp;$C$4&amp;"'!$A$1:$BZ$400"),MATCH("Hours for the volume (h)",INDIRECT("'"&amp;$C$4&amp;"'!$A$1:$A$400"),0),MATCH(F$5,INDIRECT("'"&amp;$C$4&amp;"'!$A$7:$BZ$7"),0)),"-"))</f>
        <v>0</v>
      </c>
    </row>
    <row r="14" customFormat="false" ht="15" hidden="false" customHeight="false" outlineLevel="0" collapsed="false">
      <c r="A14" s="11" t="s">
        <v>457</v>
      </c>
      <c r="B14" s="41" t="s">
        <v>67</v>
      </c>
      <c r="C14" s="59" t="n">
        <f aca="true">IF(C$5="","",IFERROR(INDEX(INDIRECT("'"&amp;$C$4&amp;"'!$A$1:$BZ$400"),MATCH("Fuel cost (USD)",INDIRECT("'"&amp;$C$4&amp;"'!$A$1:$A$400"),0),MATCH(C$5,INDIRECT("'"&amp;$C$4&amp;"'!$A$7:$BZ$7"),0)),"-"))</f>
        <v>42480</v>
      </c>
      <c r="D14" s="59" t="n">
        <f aca="true">IF(D$5="","",IFERROR(INDEX(INDIRECT("'"&amp;$C$4&amp;"'!$A$1:$BZ$400"),MATCH("Fuel cost (USD)",INDIRECT("'"&amp;$C$4&amp;"'!$A$1:$A$400"),0),MATCH(D$5,INDIRECT("'"&amp;$C$4&amp;"'!$A$7:$BZ$7"),0)),"-"))</f>
        <v>48960</v>
      </c>
      <c r="E14" s="59" t="n">
        <f aca="true">IF(E$5="","",IFERROR(INDEX(INDIRECT("'"&amp;$C$4&amp;"'!$A$1:$BZ$400"),MATCH("Fuel cost (USD)",INDIRECT("'"&amp;$C$4&amp;"'!$A$1:$A$400"),0),MATCH(E$5,INDIRECT("'"&amp;$C$4&amp;"'!$A$7:$BZ$7"),0)),"-"))</f>
        <v>48960</v>
      </c>
      <c r="F14" s="59" t="n">
        <f aca="true">IF(F$5="","",IFERROR(INDEX(INDIRECT("'"&amp;$C$4&amp;"'!$A$1:$BZ$400"),MATCH("Fuel cost (USD)",INDIRECT("'"&amp;$C$4&amp;"'!$A$1:$A$400"),0),MATCH(F$5,INDIRECT("'"&amp;$C$4&amp;"'!$A$7:$BZ$7"),0)),"-"))</f>
        <v>48960</v>
      </c>
    </row>
    <row r="15" customFormat="false" ht="15" hidden="false" customHeight="false" outlineLevel="0" collapsed="false">
      <c r="A15" s="11" t="s">
        <v>458</v>
      </c>
      <c r="B15" s="41" t="s">
        <v>67</v>
      </c>
      <c r="C15" s="59" t="n">
        <f aca="true">IF(C$5="","",IFERROR(INDEX(INDIRECT("'"&amp;$C$4&amp;"'!$A$1:$BZ$400"),MATCH("Maintenance cost (USD)",INDIRECT("'"&amp;$C$4&amp;"'!$A$1:$A$400"),0),MATCH(C$5,INDIRECT("'"&amp;$C$4&amp;"'!$A$7:$BZ$7"),0)),"-"))</f>
        <v>9000</v>
      </c>
      <c r="D15" s="59" t="n">
        <f aca="true">IF(D$5="","",IFERROR(INDEX(INDIRECT("'"&amp;$C$4&amp;"'!$A$1:$BZ$400"),MATCH("Maintenance cost (USD)",INDIRECT("'"&amp;$C$4&amp;"'!$A$1:$A$400"),0),MATCH(D$5,INDIRECT("'"&amp;$C$4&amp;"'!$A$7:$BZ$7"),0)),"-"))</f>
        <v>9000</v>
      </c>
      <c r="E15" s="59" t="n">
        <f aca="true">IF(E$5="","",IFERROR(INDEX(INDIRECT("'"&amp;$C$4&amp;"'!$A$1:$BZ$400"),MATCH("Maintenance cost (USD)",INDIRECT("'"&amp;$C$4&amp;"'!$A$1:$A$400"),0),MATCH(E$5,INDIRECT("'"&amp;$C$4&amp;"'!$A$7:$BZ$7"),0)),"-"))</f>
        <v>9000</v>
      </c>
      <c r="F15" s="59" t="n">
        <f aca="true">IF(F$5="","",IFERROR(INDEX(INDIRECT("'"&amp;$C$4&amp;"'!$A$1:$BZ$400"),MATCH("Maintenance cost (USD)",INDIRECT("'"&amp;$C$4&amp;"'!$A$1:$A$400"),0),MATCH(F$5,INDIRECT("'"&amp;$C$4&amp;"'!$A$7:$BZ$7"),0)),"-"))</f>
        <v>9000</v>
      </c>
    </row>
    <row r="16" customFormat="false" ht="15" hidden="false" customHeight="false" outlineLevel="0" collapsed="false">
      <c r="A16" s="11" t="s">
        <v>461</v>
      </c>
      <c r="B16" s="41" t="s">
        <v>67</v>
      </c>
      <c r="C16" s="59" t="n">
        <f aca="true">IF(C$5="","",IFERROR(INDEX(INDIRECT("'"&amp;$C$4&amp;"'!$A$1:$BZ$400"),MATCH("Articulation joint cost (USD)",INDIRECT("'"&amp;$C$4&amp;"'!$A$1:$A$400"),0),MATCH(C$5,INDIRECT("'"&amp;$C$4&amp;"'!$A$7:$BZ$7"),0)),"-"))</f>
        <v>0</v>
      </c>
      <c r="D16" s="59" t="n">
        <f aca="true">IF(D$5="","",IFERROR(INDEX(INDIRECT("'"&amp;$C$4&amp;"'!$A$1:$BZ$400"),MATCH("Articulation joint cost (USD)",INDIRECT("'"&amp;$C$4&amp;"'!$A$1:$A$400"),0),MATCH(D$5,INDIRECT("'"&amp;$C$4&amp;"'!$A$7:$BZ$7"),0)),"-"))</f>
        <v>5550</v>
      </c>
      <c r="E16" s="59" t="n">
        <f aca="true">IF(E$5="","",IFERROR(INDEX(INDIRECT("'"&amp;$C$4&amp;"'!$A$1:$BZ$400"),MATCH("Articulation joint cost (USD)",INDIRECT("'"&amp;$C$4&amp;"'!$A$1:$A$400"),0),MATCH(E$5,INDIRECT("'"&amp;$C$4&amp;"'!$A$7:$BZ$7"),0)),"-"))</f>
        <v>5550</v>
      </c>
      <c r="F16" s="59" t="n">
        <f aca="true">IF(F$5="","",IFERROR(INDEX(INDIRECT("'"&amp;$C$4&amp;"'!$A$1:$BZ$400"),MATCH("Articulation joint cost (USD)",INDIRECT("'"&amp;$C$4&amp;"'!$A$1:$A$400"),0),MATCH(F$5,INDIRECT("'"&amp;$C$4&amp;"'!$A$7:$BZ$7"),0)),"-"))</f>
        <v>5550</v>
      </c>
    </row>
    <row r="17" customFormat="false" ht="15" hidden="false" customHeight="false" outlineLevel="0" collapsed="false">
      <c r="A17" s="11" t="s">
        <v>761</v>
      </c>
      <c r="B17" s="41" t="s">
        <v>67</v>
      </c>
      <c r="C17" s="59" t="str">
        <f aca="true">IF(C$5="","",IFERROR(INDEX(INDIRECT("'"&amp;$C$4&amp;"'!$A$1:$BZ$400"),MATCH("Tool wear cost (USD)",INDIRECT("'"&amp;$C$4&amp;"'!$A$1:$A$400"),0),MATCH(C$5,INDIRECT("'"&amp;$C$4&amp;"'!$A$7:$BZ$7"),0)),"-"))</f>
        <v>-</v>
      </c>
      <c r="D17" s="59" t="str">
        <f aca="true">IF(D$5="","",IFERROR(INDEX(INDIRECT("'"&amp;$C$4&amp;"'!$A$1:$BZ$400"),MATCH("Tool wear cost (USD)",INDIRECT("'"&amp;$C$4&amp;"'!$A$1:$A$400"),0),MATCH(D$5,INDIRECT("'"&amp;$C$4&amp;"'!$A$7:$BZ$7"),0)),"-"))</f>
        <v>-</v>
      </c>
      <c r="E17" s="59" t="str">
        <f aca="true">IF(E$5="","",IFERROR(INDEX(INDIRECT("'"&amp;$C$4&amp;"'!$A$1:$BZ$400"),MATCH("Tool wear cost (USD)",INDIRECT("'"&amp;$C$4&amp;"'!$A$1:$A$400"),0),MATCH(E$5,INDIRECT("'"&amp;$C$4&amp;"'!$A$7:$BZ$7"),0)),"-"))</f>
        <v>-</v>
      </c>
      <c r="F17" s="59" t="str">
        <f aca="true">IF(F$5="","",IFERROR(INDEX(INDIRECT("'"&amp;$C$4&amp;"'!$A$1:$BZ$400"),MATCH("Tool wear cost (USD)",INDIRECT("'"&amp;$C$4&amp;"'!$A$1:$A$400"),0),MATCH(F$5,INDIRECT("'"&amp;$C$4&amp;"'!$A$7:$BZ$7"),0)),"-"))</f>
        <v>-</v>
      </c>
    </row>
    <row r="18" customFormat="false" ht="15" hidden="false" customHeight="false" outlineLevel="0" collapsed="false">
      <c r="A18" s="11" t="s">
        <v>1108</v>
      </c>
      <c r="B18" s="41" t="s">
        <v>67</v>
      </c>
      <c r="C18" s="59" t="str">
        <f aca="true">IF(C$5="","",IFERROR(INDEX(INDIRECT("'"&amp;$C$4&amp;"'!$A$1:$BZ$400"),MATCH("Heating fuel cost (USD)",INDIRECT("'"&amp;$C$4&amp;"'!$A$1:$A$400"),0),MATCH(C$5,INDIRECT("'"&amp;$C$4&amp;"'!$A$7:$BZ$7"),0)),"-"))</f>
        <v>-</v>
      </c>
      <c r="D18" s="59" t="str">
        <f aca="true">IF(D$5="","",IFERROR(INDEX(INDIRECT("'"&amp;$C$4&amp;"'!$A$1:$BZ$400"),MATCH("Heating fuel cost (USD)",INDIRECT("'"&amp;$C$4&amp;"'!$A$1:$A$400"),0),MATCH(D$5,INDIRECT("'"&amp;$C$4&amp;"'!$A$7:$BZ$7"),0)),"-"))</f>
        <v>-</v>
      </c>
      <c r="E18" s="59" t="str">
        <f aca="true">IF(E$5="","",IFERROR(INDEX(INDIRECT("'"&amp;$C$4&amp;"'!$A$1:$BZ$400"),MATCH("Heating fuel cost (USD)",INDIRECT("'"&amp;$C$4&amp;"'!$A$1:$A$400"),0),MATCH(E$5,INDIRECT("'"&amp;$C$4&amp;"'!$A$7:$BZ$7"),0)),"-"))</f>
        <v>-</v>
      </c>
      <c r="F18" s="59" t="str">
        <f aca="true">IF(F$5="","",IFERROR(INDEX(INDIRECT("'"&amp;$C$4&amp;"'!$A$1:$BZ$400"),MATCH("Heating fuel cost (USD)",INDIRECT("'"&amp;$C$4&amp;"'!$A$1:$A$400"),0),MATCH(F$5,INDIRECT("'"&amp;$C$4&amp;"'!$A$7:$BZ$7"),0)),"-"))</f>
        <v>-</v>
      </c>
    </row>
    <row r="19" customFormat="false" ht="15" hidden="false" customHeight="false" outlineLevel="0" collapsed="false">
      <c r="A19" s="11" t="s">
        <v>1109</v>
      </c>
      <c r="B19" s="41" t="s">
        <v>67</v>
      </c>
      <c r="C19" s="59" t="str">
        <f aca="true">IF(C$5="","",IFERROR(INDEX(INDIRECT("'"&amp;$C$4&amp;"'!$A$1:$BZ$400"),MATCH("Screed wear cost (USD)",INDIRECT("'"&amp;$C$4&amp;"'!$A$1:$A$400"),0),MATCH(C$5,INDIRECT("'"&amp;$C$4&amp;"'!$A$7:$BZ$7"),0)),"-"))</f>
        <v>-</v>
      </c>
      <c r="D19" s="59" t="str">
        <f aca="true">IF(D$5="","",IFERROR(INDEX(INDIRECT("'"&amp;$C$4&amp;"'!$A$1:$BZ$400"),MATCH("Screed wear cost (USD)",INDIRECT("'"&amp;$C$4&amp;"'!$A$1:$A$400"),0),MATCH(D$5,INDIRECT("'"&amp;$C$4&amp;"'!$A$7:$BZ$7"),0)),"-"))</f>
        <v>-</v>
      </c>
      <c r="E19" s="59" t="str">
        <f aca="true">IF(E$5="","",IFERROR(INDEX(INDIRECT("'"&amp;$C$4&amp;"'!$A$1:$BZ$400"),MATCH("Screed wear cost (USD)",INDIRECT("'"&amp;$C$4&amp;"'!$A$1:$A$400"),0),MATCH(E$5,INDIRECT("'"&amp;$C$4&amp;"'!$A$7:$BZ$7"),0)),"-"))</f>
        <v>-</v>
      </c>
      <c r="F19" s="59" t="str">
        <f aca="true">IF(F$5="","",IFERROR(INDEX(INDIRECT("'"&amp;$C$4&amp;"'!$A$1:$BZ$400"),MATCH("Screed wear cost (USD)",INDIRECT("'"&amp;$C$4&amp;"'!$A$1:$A$400"),0),MATCH(F$5,INDIRECT("'"&amp;$C$4&amp;"'!$A$7:$BZ$7"),0)),"-"))</f>
        <v>-</v>
      </c>
    </row>
    <row r="20" customFormat="false" ht="15" hidden="false" customHeight="false" outlineLevel="0" collapsed="false">
      <c r="A20" s="11" t="s">
        <v>439</v>
      </c>
      <c r="B20" s="41" t="s">
        <v>67</v>
      </c>
      <c r="C20" s="59" t="n">
        <f aca="true">IF(C$5="","",IFERROR(INDEX(INDIRECT("'"&amp;$C$4&amp;"'!$A$1:$BZ$400"),MATCH("Estimated resale value (USD)",INDIRECT("'"&amp;$C$4&amp;"'!$A$1:$A$400"),0),MATCH(C$5,INDIRECT("'"&amp;$C$4&amp;"'!$A$7:$BZ$7"),0)),"-"))</f>
        <v>0</v>
      </c>
      <c r="D20" s="59" t="n">
        <f aca="true">IF(D$5="","",IFERROR(INDEX(INDIRECT("'"&amp;$C$4&amp;"'!$A$1:$BZ$400"),MATCH("Estimated resale value (USD)",INDIRECT("'"&amp;$C$4&amp;"'!$A$1:$A$400"),0),MATCH(D$5,INDIRECT("'"&amp;$C$4&amp;"'!$A$7:$BZ$7"),0)),"-"))</f>
        <v>0</v>
      </c>
      <c r="E20" s="59" t="n">
        <f aca="true">IF(E$5="","",IFERROR(INDEX(INDIRECT("'"&amp;$C$4&amp;"'!$A$1:$BZ$400"),MATCH("Estimated resale value (USD)",INDIRECT("'"&amp;$C$4&amp;"'!$A$1:$A$400"),0),MATCH(E$5,INDIRECT("'"&amp;$C$4&amp;"'!$A$7:$BZ$7"),0)),"-"))</f>
        <v>0</v>
      </c>
      <c r="F20" s="59" t="n">
        <f aca="true">IF(F$5="","",IFERROR(INDEX(INDIRECT("'"&amp;$C$4&amp;"'!$A$1:$BZ$400"),MATCH("Estimated resale value (USD)",INDIRECT("'"&amp;$C$4&amp;"'!$A$1:$A$400"),0),MATCH(F$5,INDIRECT("'"&amp;$C$4&amp;"'!$A$7:$BZ$7"),0)),"-"))</f>
        <v>0</v>
      </c>
    </row>
    <row r="21" customFormat="false" ht="15" hidden="false" customHeight="false" outlineLevel="0" collapsed="false">
      <c r="A21" s="35" t="s">
        <v>463</v>
      </c>
      <c r="B21" s="53" t="s">
        <v>67</v>
      </c>
      <c r="C21" s="60" t="n">
        <f aca="true">IF(C$5="","",IFERROR(INDEX(INDIRECT("'"&amp;$C$4&amp;"'!$A$1:$BZ$400"),MATCH("TCO for the period (USD)",INDIRECT("'"&amp;$C$4&amp;"'!$A$1:$A$400"),0),MATCH(C$5,INDIRECT("'"&amp;$C$4&amp;"'!$A$7:$BZ$7"),0)),"-"))</f>
        <v>109072.78</v>
      </c>
      <c r="D21" s="60" t="n">
        <f aca="true">IF(D$5="","",IFERROR(INDEX(INDIRECT("'"&amp;$C$4&amp;"'!$A$1:$BZ$400"),MATCH("TCO for the period (USD)",INDIRECT("'"&amp;$C$4&amp;"'!$A$1:$A$400"),0),MATCH(D$5,INDIRECT("'"&amp;$C$4&amp;"'!$A$7:$BZ$7"),0)),"-"))</f>
        <v>153510</v>
      </c>
      <c r="E21" s="60" t="n">
        <f aca="true">IF(E$5="","",IFERROR(INDEX(INDIRECT("'"&amp;$C$4&amp;"'!$A$1:$BZ$400"),MATCH("TCO for the period (USD)",INDIRECT("'"&amp;$C$4&amp;"'!$A$1:$A$400"),0),MATCH(E$5,INDIRECT("'"&amp;$C$4&amp;"'!$A$7:$BZ$7"),0)),"-"))</f>
        <v>153510</v>
      </c>
      <c r="F21" s="60" t="n">
        <f aca="true">IF(F$5="","",IFERROR(INDEX(INDIRECT("'"&amp;$C$4&amp;"'!$A$1:$BZ$400"),MATCH("TCO for the period (USD)",INDIRECT("'"&amp;$C$4&amp;"'!$A$1:$A$400"),0),MATCH(F$5,INDIRECT("'"&amp;$C$4&amp;"'!$A$7:$BZ$7"),0)),"-"))</f>
        <v>153510</v>
      </c>
    </row>
    <row r="22" customFormat="false" ht="15" hidden="false" customHeight="false" outlineLevel="0" collapsed="false">
      <c r="A22" s="11" t="s">
        <v>465</v>
      </c>
      <c r="B22" s="41" t="s">
        <v>437</v>
      </c>
      <c r="C22" s="69" t="n">
        <f aca="true">IF(C$5="","",IFERROR(INDEX(INDIRECT("'"&amp;$C$4&amp;"'!$A$1:$BZ$400"),MATCH("TCO per hour (USD/h)",INDIRECT("'"&amp;$C$4&amp;"'!$A$1:$A$400"),0),MATCH(C$5,INDIRECT("'"&amp;$C$4&amp;"'!$A$7:$BZ$7"),0)),"-"))</f>
        <v>36.3575933333333</v>
      </c>
      <c r="D22" s="69" t="n">
        <f aca="true">IF(D$5="","",IFERROR(INDEX(INDIRECT("'"&amp;$C$4&amp;"'!$A$1:$BZ$400"),MATCH("TCO per hour (USD/h)",INDIRECT("'"&amp;$C$4&amp;"'!$A$1:$A$400"),0),MATCH(D$5,INDIRECT("'"&amp;$C$4&amp;"'!$A$7:$BZ$7"),0)),"-"))</f>
        <v>51.17</v>
      </c>
      <c r="E22" s="69" t="n">
        <f aca="true">IF(E$5="","",IFERROR(INDEX(INDIRECT("'"&amp;$C$4&amp;"'!$A$1:$BZ$400"),MATCH("TCO per hour (USD/h)",INDIRECT("'"&amp;$C$4&amp;"'!$A$1:$A$400"),0),MATCH(E$5,INDIRECT("'"&amp;$C$4&amp;"'!$A$7:$BZ$7"),0)),"-"))</f>
        <v>51.17</v>
      </c>
      <c r="F22" s="69" t="n">
        <f aca="true">IF(F$5="","",IFERROR(INDEX(INDIRECT("'"&amp;$C$4&amp;"'!$A$1:$BZ$400"),MATCH("TCO per hour (USD/h)",INDIRECT("'"&amp;$C$4&amp;"'!$A$1:$A$400"),0),MATCH(F$5,INDIRECT("'"&amp;$C$4&amp;"'!$A$7:$BZ$7"),0)),"-"))</f>
        <v>51.17</v>
      </c>
    </row>
    <row r="23" customFormat="false" ht="15" hidden="false" customHeight="false" outlineLevel="0" collapsed="false">
      <c r="A23" s="11" t="s">
        <v>466</v>
      </c>
      <c r="B23" s="41"/>
      <c r="C23" s="71" t="n">
        <f aca="true">IF(C$5="","",IFERROR(INDEX(INDIRECT("'"&amp;$C$4&amp;"'!$A$1:$BZ$400"),MATCH("TCO in selected currency",INDIRECT("'"&amp;$C$4&amp;"'!$A$1:$A$400"),0),MATCH(C$5,INDIRECT("'"&amp;$C$4&amp;"'!$A$7:$BZ$7"),0)),"-"))</f>
        <v>109072.78</v>
      </c>
      <c r="D23" s="71" t="n">
        <f aca="true">IF(D$5="","",IFERROR(INDEX(INDIRECT("'"&amp;$C$4&amp;"'!$A$1:$BZ$400"),MATCH("TCO in selected currency",INDIRECT("'"&amp;$C$4&amp;"'!$A$1:$A$400"),0),MATCH(D$5,INDIRECT("'"&amp;$C$4&amp;"'!$A$7:$BZ$7"),0)),"-"))</f>
        <v>153510</v>
      </c>
      <c r="E23" s="71" t="n">
        <f aca="true">IF(E$5="","",IFERROR(INDEX(INDIRECT("'"&amp;$C$4&amp;"'!$A$1:$BZ$400"),MATCH("TCO in selected currency",INDIRECT("'"&amp;$C$4&amp;"'!$A$1:$A$400"),0),MATCH(E$5,INDIRECT("'"&amp;$C$4&amp;"'!$A$7:$BZ$7"),0)),"-"))</f>
        <v>153510</v>
      </c>
      <c r="F23" s="71" t="n">
        <f aca="true">IF(F$5="","",IFERROR(INDEX(INDIRECT("'"&amp;$C$4&amp;"'!$A$1:$BZ$400"),MATCH("TCO in selected currency",INDIRECT("'"&amp;$C$4&amp;"'!$A$1:$A$400"),0),MATCH(F$5,INDIRECT("'"&amp;$C$4&amp;"'!$A$7:$BZ$7"),0)),"-"))</f>
        <v>153510</v>
      </c>
    </row>
    <row r="24" customFormat="false" ht="15" hidden="false" customHeight="false" outlineLevel="0" collapsed="false">
      <c r="A24" s="18" t="s">
        <v>1119</v>
      </c>
      <c r="B24" s="41" t="s">
        <v>67</v>
      </c>
      <c r="C24" s="78" t="n">
        <f aca="false">IF(OR(C$5="",NOT(ISNUMBER(C21))),"",C21-$C21)</f>
        <v>0</v>
      </c>
      <c r="D24" s="78" t="n">
        <f aca="false">IF(OR(D$5="",NOT(ISNUMBER(D21))),"",D21-$C21)</f>
        <v>44437.22</v>
      </c>
      <c r="E24" s="78" t="n">
        <f aca="false">IF(OR(E$5="",NOT(ISNUMBER(E21))),"",E21-$C21)</f>
        <v>44437.22</v>
      </c>
      <c r="F24" s="78" t="n">
        <f aca="false">IF(OR(F$5="",NOT(ISNUMBER(F21))),"",F21-$C21)</f>
        <v>44437.22</v>
      </c>
    </row>
    <row r="25" customFormat="false" ht="15" hidden="false" customHeight="false" outlineLevel="0" collapsed="false">
      <c r="A25" s="63" t="s">
        <v>1120</v>
      </c>
    </row>
  </sheetData>
  <dataValidations count="2">
    <dataValidation allowBlank="false" errorStyle="stop" operator="between" showDropDown="false" showErrorMessage="false" showInputMessage="false" sqref="C4" type="list">
      <formula1>"SDR,LTR,HTR,MILLING,PAVERS"</formula1>
      <formula2>0</formula2>
    </dataValidation>
    <dataValidation allowBlank="false" errorStyle="stop" operator="between" showDropDown="false" showErrorMessage="false" showInputMessage="false" sqref="C5:F5" type="list">
      <formula1>INDIRECT("IDS_"&amp;$C$4)</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&amp;LBOMAG Compare Hub&amp;R&amp;P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2026-09-30T10:35:52Z</dcterms:created>
  <dc:creator>openpyxl</dc:creator>
  <dc:description/>
  <dc:language>en-US</dc:language>
  <cp:lastModifiedBy/>
  <dcterms:modified xsi:type="dcterms:W3CDTF">2026-09-30T10:35:53Z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