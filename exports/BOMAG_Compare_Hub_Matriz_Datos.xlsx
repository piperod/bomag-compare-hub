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5.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7.xml" ContentType="application/vnd.openxmlformats-officedocument.drawing+xml"/>
  <Override PartName="/xl/comments8.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ame" sheetId="1" state="visible" r:id="rId3"/>
    <sheet name="Supuestos" sheetId="2" state="visible" r:id="rId4"/>
    <sheet name="Datos SDR" sheetId="3" state="visible" r:id="rId5"/>
    <sheet name="Datos LTR" sheetId="4" state="visible" r:id="rId6"/>
    <sheet name="Datos HTR" sheetId="5" state="visible" r:id="rId7"/>
    <sheet name="Datos Fresadoras" sheetId="6" state="visible" r:id="rId8"/>
    <sheet name="Datos Pavimentadoras" sheetId="7" state="visible" r:id="rId9"/>
    <sheet name="Análisis Compactación" sheetId="8" state="visible" r:id="rId10"/>
    <sheet name="Análisis Fresadoras" sheetId="9" state="visible" r:id="rId11"/>
    <sheet name="Análisis Pavimentadoras" sheetId="10" state="visible" r:id="rId12"/>
    <sheet name="Junta Articulada" sheetId="11" state="visible" r:id="rId13"/>
    <sheet name="TCO Progresivo" sheetId="12" state="visible" r:id="rId14"/>
    <sheet name="Comparador" sheetId="13" state="visible" r:id="rId15"/>
    <sheet name="Tablas Rendimiento" sheetId="14" state="visible" r:id="rId16"/>
    <sheet name="Mant. BM 1000-20" sheetId="15" state="visible" r:id="rId17"/>
  </sheets>
  <definedNames>
    <definedName function="false" hidden="true" localSheetId="7" name="_xlnm._FilterDatabase" vbProcedure="false">'Análisis Compactación'!$A$4:$AE$64</definedName>
    <definedName function="false" hidden="true" localSheetId="5" name="_xlnm._FilterDatabase" vbProcedure="false">'Datos Fresadoras'!$A$1:$AI$4</definedName>
    <definedName function="false" hidden="true" localSheetId="4" name="_xlnm._FilterDatabase" vbProcedure="false">'Datos HTR'!$A$1:$AA$6</definedName>
    <definedName function="false" hidden="true" localSheetId="3" name="_xlnm._FilterDatabase" vbProcedure="false">'Datos LTR'!$A$1:$AB$8</definedName>
    <definedName function="false" hidden="true" localSheetId="6" name="_xlnm._FilterDatabase" vbProcedure="false">'Datos Pavimentadoras'!$A$1:$BI$5</definedName>
    <definedName function="false" hidden="true" localSheetId="2" name="_xlnm._FilterDatabase" vbProcedure="false">'Datos SDR'!$A$1:$AE$49</definedName>
    <definedName function="false" hidden="true" localSheetId="11" name="_xlnm._FilterDatabase" vbProcedure="false">'TCO Progresivo'!$A$4:$R$71</definedName>
    <definedName function="false" hidden="false" name="AhorroECOMODE" vbProcedure="false">Supuestos!$B$24</definedName>
    <definedName function="false" hidden="false" name="Desgaste3aCompEUR" vbProcedure="false">Supuestos!$B$30</definedName>
    <definedName function="false" hidden="false" name="Eficiencia" vbProcedure="false">Supuestos!$B$9</definedName>
    <definedName function="false" hidden="false" name="EURUSD" vbProcedure="false">Supuestos!$B$22</definedName>
    <definedName function="false" hidden="false" name="FactorEcoMode" vbProcedure="false">Supuestos!$B$27</definedName>
    <definedName function="false" hidden="false" name="FactorEcoPlus" vbProcedure="false">Supuestos!$B$25</definedName>
    <definedName function="false" hidden="false" name="FactorVarioSpeed" vbProcedure="false">Supuestos!$B$26</definedName>
    <definedName function="false" hidden="false" name="HorasAnioPaver" vbProcedure="false">Supuestos!$B$31</definedName>
    <definedName function="false" hidden="false" name="HorasCalentamientoComp" vbProcedure="false">Supuestos!$B$32</definedName>
    <definedName function="false" hidden="false" name="HorasOperacion" vbProcedure="false">Supuestos!$B$6</definedName>
    <definedName function="false" hidden="false" name="HorasTurno" vbProcedure="false">Supuestos!$B$23</definedName>
    <definedName function="false" hidden="false" name="JuntaGrasa" vbProcedure="false">Supuestos!$B$15</definedName>
    <definedName function="false" hidden="false" name="JuntaHorasIntervencion" vbProcedure="false">Supuestos!$B$17</definedName>
    <definedName function="false" hidden="false" name="JuntaIntervalo" vbProcedure="false">Supuestos!$B$16</definedName>
    <definedName function="false" hidden="false" name="JuntaParada" vbProcedure="false">Supuestos!$B$14</definedName>
    <definedName function="false" hidden="false" name="JuntaTecnico" vbProcedure="false">Supuestos!$B$13</definedName>
    <definedName function="false" hidden="false" name="Moneda" vbProcedure="false">Supuestos!$B$45</definedName>
    <definedName function="false" hidden="false" name="MultTecBOMAG" vbProcedure="false">Supuestos!$B$11</definedName>
    <definedName function="false" hidden="false" name="PrecioDiesel" vbProcedure="false">Supuestos!$B$5</definedName>
    <definedName function="false" hidden="false" name="ReduccionBMS15L" vbProcedure="false">Supuestos!$B$20</definedName>
    <definedName function="false" hidden="false" name="SetupCompetidorL" vbProcedure="false">Supuestos!$B$28</definedName>
    <definedName function="false" hidden="false" name="SetupMagmaL" vbProcedure="false">Supuestos!$B$29</definedName>
    <definedName function="false" hidden="false" name="TasaMoneda" vbProcedure="false">Supuestos!$B$46</definedName>
    <definedName function="false" hidden="false" name="TipoSuelo" vbProcedure="false">Supuestos!$B$8</definedName>
    <definedName function="false" hidden="false" name="VolumenCompactacion" vbProcedure="false">Supuestos!$B$10</definedName>
    <definedName function="false" hidden="false" name="VolumenFresado" vbProcedure="false">Supuestos!$B$19</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K53" authorId="0">
      <text>
        <r>
          <rPr>
            <sz val="10"/>
            <rFont val="Arial"/>
            <family val="2"/>
          </rPr>
          <t xml:space="preserve">El costo de junta articulada solo se calcula para SDR (igual que la app).</t>
        </r>
      </text>
    </comment>
    <comment ref="K60" authorId="0">
      <text>
        <r>
          <rPr>
            <sz val="10"/>
            <rFont val="Arial"/>
            <family val="2"/>
          </rPr>
          <t xml:space="preserve">El costo de junta articulada solo se calcula para SDR (igual que la app).</t>
        </r>
      </text>
    </comment>
    <comment ref="M5" authorId="0">
      <text>
        <r>
          <rPr>
            <sz val="10"/>
            <rFont val="Arial"/>
            <family val="2"/>
          </rPr>
          <t xml:space="preserve">Interpolación por peso de la app (interpolatePerformance). Editable.</t>
        </r>
      </text>
    </comment>
    <comment ref="AE5" authorId="0">
      <text>
        <r>
          <rPr>
            <sz val="10"/>
            <rFont val="Arial"/>
            <family val="2"/>
          </rPr>
          <t xml:space="preserve">TCO de esta máquina menos el TCO del primer BOMAG de la misma línea. Positivo = BOMAG más económico.</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Igual que la app: TCO máximo de los competidores − TCO de BOMAG.</t>
        </r>
      </text>
    </comment>
    <comment ref="E4" authorId="0">
      <text>
        <r>
          <rPr>
            <sz val="10"/>
            <rFont val="Arial"/>
            <family val="2"/>
          </rPr>
          <t xml:space="preserve">Orden de la app: consumo medio (L/h) → consumo 10 h / 10 → CO₂ por turno / 2,6 / 10. 0 = no publicado.</t>
        </r>
      </text>
    </comment>
    <comment ref="K4" authorId="0">
      <text>
        <r>
          <rPr>
            <sz val="10"/>
            <rFont val="Arial"/>
            <family val="2"/>
          </rPr>
          <t xml:space="preserve">Por defecto en la app: BOMAG 8, competidores 10 USD/h.</t>
        </r>
      </text>
    </comment>
    <comment ref="L4" authorId="0">
      <text>
        <r>
          <rPr>
            <sz val="10"/>
            <rFont val="Arial"/>
            <family val="2"/>
          </rPr>
          <t xml:space="preserve">Por defecto en la app: BOMAG 4, competidores 6 USD/h.</t>
        </r>
      </text>
    </comment>
    <comment ref="S5" authorId="0">
      <text>
        <r>
          <rPr>
            <sz val="10"/>
            <rFont val="Arial"/>
            <family val="2"/>
          </rPr>
          <t xml:space="preserve">Texto original: ~24.000 €</t>
        </r>
      </text>
    </comment>
    <comment ref="S6" authorId="0">
      <text>
        <r>
          <rPr>
            <sz val="10"/>
            <rFont val="Arial"/>
            <family val="2"/>
          </rPr>
          <t xml:space="preserve">Texto original: ~8.000 € ✓</t>
        </r>
      </text>
    </comment>
    <comment ref="S7" authorId="0">
      <text>
        <r>
          <rPr>
            <sz val="10"/>
            <rFont val="Arial"/>
            <family val="2"/>
          </rPr>
          <t xml:space="preserve">Texto original: ~24.000 €</t>
        </r>
      </text>
    </comment>
    <comment ref="S8" authorId="0">
      <text>
        <r>
          <rPr>
            <sz val="10"/>
            <rFont val="Arial"/>
            <family val="2"/>
          </rPr>
          <t xml:space="preserve">Texto original: ~24.000 €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TCO inicial = precio. Puede sobrescribirlo (como el campo editable a 0 h en la app).</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Convertido desde el texto de cantidad.</t>
        </r>
      </text>
    </comment>
  </commentList>
</comments>
</file>

<file path=xl/sharedStrings.xml><?xml version="1.0" encoding="utf-8"?>
<sst xmlns="http://schemas.openxmlformats.org/spreadsheetml/2006/main" count="2058" uniqueCount="1076">
  <si>
    <t xml:space="preserve">BOMAG Compare Hub — Matriz de datos y análisis financiero</t>
  </si>
  <si>
    <t xml:space="preserve">Exportado desde el código fuente de la aplicación (src/data/*, src/utils/financialFields.ts, src/utils/productLineFinancial.ts, src/components/MachineComparison.tsx, ArticulationJointCostAnalysis.tsx).</t>
  </si>
  <si>
    <t xml:space="preserve">Convención de colores</t>
  </si>
  <si>
    <t xml:space="preserve">Texto azul</t>
  </si>
  <si>
    <t xml:space="preserve">Dato de entrada / supuesto editable (valor fijo tomado de la app).</t>
  </si>
  <si>
    <t xml:space="preserve">Texto negro</t>
  </si>
  <si>
    <t xml:space="preserve">Fórmula calculada — no sobrescribir.</t>
  </si>
  <si>
    <t xml:space="preserve">Texto verde</t>
  </si>
  <si>
    <t xml:space="preserve">Vínculo a otra hoja (p. ej. precio y consumo tomados de la hoja de datos).</t>
  </si>
  <si>
    <t xml:space="preserve">Relleno amarillo</t>
  </si>
  <si>
    <t xml:space="preserve">Supuestos clave globales (hoja Supuestos) y selectores del Comparador.</t>
  </si>
  <si>
    <t xml:space="preserve">Hojas</t>
  </si>
  <si>
    <t xml:space="preserve">Supuestos</t>
  </si>
  <si>
    <t xml:space="preserve">Parámetros globales: precio del diésel, horas de operación, eficiencia, volumen, tipo de suelo, junta articulada, parámetros de pavimentadoras y fresadoras, tasas de cambio.</t>
  </si>
  <si>
    <t xml:space="preserve">Datos SDR / LTR / HTR</t>
  </si>
  <si>
    <t xml:space="preserve">Matriz completa de especificaciones de rodillos (textos en español). Precio, consumo y mantenimiento alimentan los análisis.</t>
  </si>
  <si>
    <t xml:space="preserve">Datos Fresadoras</t>
  </si>
  <si>
    <t xml:space="preserve">Especificaciones y variables financieras de fresadoras en frío.</t>
  </si>
  <si>
    <t xml:space="preserve">Datos Pavimentadoras</t>
  </si>
  <si>
    <t xml:space="preserve">Especificaciones y bloque financiero (consumo, CO₂, calentamiento, reemplazos de plancha).</t>
  </si>
  <si>
    <t xml:space="preserve">Análisis Compactación</t>
  </si>
  <si>
    <t xml:space="preserve">TCO por máquina (SDR+LTR+HTR): combustible, mantenimiento, junta articulada, rendimiento y costo por volumen.</t>
  </si>
  <si>
    <t xml:space="preserve">Análisis Fresadoras</t>
  </si>
  <si>
    <t xml:space="preserve">TCO con BMS15L (reducción de desgaste), desgaste de herramientas y horas de trabajo por volumen.</t>
  </si>
  <si>
    <t xml:space="preserve">Análisis Pavimentadoras</t>
  </si>
  <si>
    <t xml:space="preserve">TCO con ECOMODE / modos de ahorro, MAGMALIFE (combustible de calentamiento y desgaste de plancha).</t>
  </si>
  <si>
    <t xml:space="preserve">Junta Articulada</t>
  </si>
  <si>
    <t xml:space="preserve">Análisis de costo de engrase: competidor vs BOMAG.</t>
  </si>
  <si>
    <t xml:space="preserve">TCO Progresivo</t>
  </si>
  <si>
    <t xml:space="preserve">TCO acumulado a 0…10.000 h por máquina (todas las líneas).</t>
  </si>
  <si>
    <t xml:space="preserve">Comparador</t>
  </si>
  <si>
    <t xml:space="preserve">Elija hasta 4 máquinas de compactación (lista desplegable) para verlas lado a lado, como en la app.</t>
  </si>
  <si>
    <t xml:space="preserve">Tablas Rendimiento</t>
  </si>
  <si>
    <t xml:space="preserve">Tablas de rendimiento y altura de capa por peso y tipo de suelo.</t>
  </si>
  <si>
    <t xml:space="preserve">Mant. BM 1000-20</t>
  </si>
  <si>
    <t xml:space="preserve">Rutina y costos de mantenimiento preventivo de la fresadora BM 1000/20.</t>
  </si>
  <si>
    <t xml:space="preserve">Fórmula TCO</t>
  </si>
  <si>
    <t xml:space="preserve">TCO = Precio + Costo combustible + Costo mantenimiento + Costo junta articulada + Desgaste herramientas + Combustible de calentamiento + Desgaste de plancha − Valor de reventa</t>
  </si>
  <si>
    <t xml:space="preserve">Combustible</t>
  </si>
  <si>
    <t xml:space="preserve">Consumo (L/h) × Horas × Precio diésel ($/L)</t>
  </si>
  <si>
    <t xml:space="preserve">Mantenimiento</t>
  </si>
  <si>
    <t xml:space="preserve">Horas × (Preventivo $/h + Correctivo $/h)</t>
  </si>
  <si>
    <t xml:space="preserve">Junta articulada (solo SDR)</t>
  </si>
  <si>
    <t xml:space="preserve">Intervenciones = Horas / 50; Horas improductivas = Intervenciones × 0,5; Costo = Horas improd. × (Técnico + Máquina parada) + Intervenciones × Grasa. 0 si la máquina tiene junta libre de mantenimiento.</t>
  </si>
  <si>
    <t xml:space="preserve">Rendimiento compactación</t>
  </si>
  <si>
    <t xml:space="preserve">Rend. efectivo = Rend. base (según peso y suelo) × 1,25 si BOMAG con tecnología Economizer/Terrameter activa; Horas trabajo = Volumen / (Rend. efectivo × Eficiencia).</t>
  </si>
  <si>
    <t xml:space="preserve">Monedas</t>
  </si>
  <si>
    <t xml:space="preserve">Todos los montos se guardan en USD (igual que la app). La columna "TCO (moneda sel.)" convierte con la tasa elegida en Supuestos.</t>
  </si>
  <si>
    <t xml:space="preserve">Notas importantes</t>
  </si>
  <si>
    <t xml:space="preserve">Rendimiento base</t>
  </si>
  <si>
    <t xml:space="preserve">La app calcula el rendimiento con una interpolación por peso (correctedPerformanceData.ts). Los 4 valores por suelo se exportaron tal cual (azul) y la fórmula elige el del suelo seleccionado.</t>
  </si>
  <si>
    <t xml:space="preserve">Desgaste de plancha</t>
  </si>
  <si>
    <t xml:space="preserve">En la app, "~24.000 €" se interpreta como 24 € (el punto de miles se lee como decimal), dando ~$0,009/h. Este Excel usa el importe correcto (24.000 € → $8,64/h). Puede cambiar el monto en la hoja Análisis Pavimentadoras.</t>
  </si>
  <si>
    <t xml:space="preserve">Precios en 0</t>
  </si>
  <si>
    <t xml:space="preserve">Fresadoras y pavimentadoras no tienen precio cargado en la app (0). Ingréselos en azul para obtener un TCO completo.</t>
  </si>
  <si>
    <t xml:space="preserve">Supuestos globales</t>
  </si>
  <si>
    <t xml:space="preserve">Parámetro</t>
  </si>
  <si>
    <t xml:space="preserve">Valor</t>
  </si>
  <si>
    <t xml:space="preserve">Unidad</t>
  </si>
  <si>
    <t xml:space="preserve">Fuente / nota</t>
  </si>
  <si>
    <t xml:space="preserve">Operación (todas las líneas)</t>
  </si>
  <si>
    <t xml:space="preserve">Precio del diésel</t>
  </si>
  <si>
    <t xml:space="preserve">USD/L</t>
  </si>
  <si>
    <t xml:space="preserve">Valor por defecto de la app (fuelPriceUSD).</t>
  </si>
  <si>
    <t xml:space="preserve">Tiempo de operación a analizar</t>
  </si>
  <si>
    <t xml:space="preserve">h</t>
  </si>
  <si>
    <t xml:space="preserve">Valor por defecto de la app (operationTimeHours).</t>
  </si>
  <si>
    <t xml:space="preserve">Compactación (SDR / LTR / HTR)</t>
  </si>
  <si>
    <t xml:space="preserve">Tipo de suelo seleccionado</t>
  </si>
  <si>
    <t xml:space="preserve">Suelo mixto</t>
  </si>
  <si>
    <t xml:space="preserve">Roca / Grava / Suelo mixto / Arcilla. Por defecto en la app: suelo mixto.</t>
  </si>
  <si>
    <t xml:space="preserve">Eficiencia de trabajo</t>
  </si>
  <si>
    <t xml:space="preserve">%</t>
  </si>
  <si>
    <t xml:space="preserve">workEfficiency (0–100 %). Por defecto 100 %.</t>
  </si>
  <si>
    <t xml:space="preserve">Volumen a compactar</t>
  </si>
  <si>
    <t xml:space="preserve">m³</t>
  </si>
  <si>
    <t xml:space="preserve">Ingrese el volumen (Largo × Ancho × Alto) para calcular horas y costo del trabajo.</t>
  </si>
  <si>
    <t xml:space="preserve">Multiplicador tecnología BOMAG (Economizer/Terrameter)</t>
  </si>
  <si>
    <t xml:space="preserve">x</t>
  </si>
  <si>
    <t xml:space="preserve">Se aplica al rendimiento solo si la máquina es BOMAG y la tecnología está activa.</t>
  </si>
  <si>
    <t xml:space="preserve">Tarifa técnico</t>
  </si>
  <si>
    <t xml:space="preserve">USD/h</t>
  </si>
  <si>
    <t xml:space="preserve">aj_technicianRate</t>
  </si>
  <si>
    <t xml:space="preserve">Costo máquina parada</t>
  </si>
  <si>
    <t xml:space="preserve">aj_machineIdleRate</t>
  </si>
  <si>
    <t xml:space="preserve">Costo de grasa por intervención</t>
  </si>
  <si>
    <t xml:space="preserve">USD</t>
  </si>
  <si>
    <t xml:space="preserve">aj_greaseCostPerIntervention</t>
  </si>
  <si>
    <t xml:space="preserve">Intervalo de engrase del competidor</t>
  </si>
  <si>
    <t xml:space="preserve">Tabla BOMAG: cada 50 h (o semanal).</t>
  </si>
  <si>
    <t xml:space="preserve">Tiempo por engrase</t>
  </si>
  <si>
    <t xml:space="preserve">Tabla BOMAG: 30 minutos.</t>
  </si>
  <si>
    <t xml:space="preserve">Fresadoras</t>
  </si>
  <si>
    <t xml:space="preserve">Volumen a fresar</t>
  </si>
  <si>
    <t xml:space="preserve">millingVolumeM3</t>
  </si>
  <si>
    <t xml:space="preserve">Reducción de desgaste BMS15L (por defecto)</t>
  </si>
  <si>
    <t xml:space="preserve">MILLING_BMS15L_WEAR_REDUCTION</t>
  </si>
  <si>
    <t xml:space="preserve">Pavimentadoras</t>
  </si>
  <si>
    <t xml:space="preserve">Tipo de cambio EUR → USD (datos en €)</t>
  </si>
  <si>
    <t xml:space="preserve">USD/EUR</t>
  </si>
  <si>
    <t xml:space="preserve">EUR_TO_USD en financialFields.ts</t>
  </si>
  <si>
    <t xml:space="preserve">Horas por turno</t>
  </si>
  <si>
    <t xml:space="preserve">PAVER_HOURS_PER_SHIFT</t>
  </si>
  <si>
    <t xml:space="preserve">Ahorro de combustible ECOMODE (BOMAG)</t>
  </si>
  <si>
    <t xml:space="preserve">PAVER_ECOMODE_FUEL_SAVINGS</t>
  </si>
  <si>
    <t xml:space="preserve">Factor consumo EcoPlus (Vögele)</t>
  </si>
  <si>
    <t xml:space="preserve">productLineFinancial.ts</t>
  </si>
  <si>
    <t xml:space="preserve">Factor consumo VarioSpeed (Dynapac)</t>
  </si>
  <si>
    <t xml:space="preserve">Factor consumo Eco-mode (Caterpillar)</t>
  </si>
  <si>
    <t xml:space="preserve">Combustible de calentamiento competidor</t>
  </si>
  <si>
    <t xml:space="preserve">L/turno</t>
  </si>
  <si>
    <t xml:space="preserve">PAVER_COMPETITOR_SETUP_FUEL_L</t>
  </si>
  <si>
    <t xml:space="preserve">Combustible de calentamiento MAGMALIFE</t>
  </si>
  <si>
    <t xml:space="preserve">PAVER_MAGMALIFE_SETUP_FUEL_L</t>
  </si>
  <si>
    <t xml:space="preserve">Reemplazos de plancha competidor (3 años)</t>
  </si>
  <si>
    <t xml:space="preserve">EUR</t>
  </si>
  <si>
    <t xml:space="preserve">PAVER_COMPETITOR_WEAR_3Y_EUR (~24.000 €)</t>
  </si>
  <si>
    <t xml:space="preserve">Horas de operación por año (plancha)</t>
  </si>
  <si>
    <t xml:space="preserve">h/año</t>
  </si>
  <si>
    <t xml:space="preserve">PAVER_WEAR_HOURS_PER_YEAR</t>
  </si>
  <si>
    <t xml:space="preserve">Minutos de calentamiento sin MAGMALIFE</t>
  </si>
  <si>
    <t xml:space="preserve">min</t>
  </si>
  <si>
    <t xml:space="preserve">Valor por defecto de la app</t>
  </si>
  <si>
    <t xml:space="preserve">Monedas (unidades por 1 USD)</t>
  </si>
  <si>
    <t xml:space="preserve">Moneda</t>
  </si>
  <si>
    <t xml:space="preserve">Tasa por USD</t>
  </si>
  <si>
    <t xml:space="preserve">Nota</t>
  </si>
  <si>
    <t xml:space="preserve">Tasas de respaldo de la app (CurrencyContext.tsx). La app las actualiza en línea; edítelas aquí.</t>
  </si>
  <si>
    <t xml:space="preserve">IDR</t>
  </si>
  <si>
    <t xml:space="preserve">KRW</t>
  </si>
  <si>
    <t xml:space="preserve">THB</t>
  </si>
  <si>
    <t xml:space="preserve">VND</t>
  </si>
  <si>
    <t xml:space="preserve">MYR</t>
  </si>
  <si>
    <t xml:space="preserve">PHP</t>
  </si>
  <si>
    <t xml:space="preserve">Moneda seleccionada</t>
  </si>
  <si>
    <t xml:space="preserve">Tasa aplicada (por USD)</t>
  </si>
  <si>
    <t xml:space="preserve">ID</t>
  </si>
  <si>
    <t xml:space="preserve">Marca</t>
  </si>
  <si>
    <t xml:space="preserve">Modelo</t>
  </si>
  <si>
    <t xml:space="preserve">N.º material</t>
  </si>
  <si>
    <t xml:space="preserve">Peso (kg)</t>
  </si>
  <si>
    <t xml:space="preserve">Motor</t>
  </si>
  <si>
    <t xml:space="preserve">Ancho de compactación (m)</t>
  </si>
  <si>
    <t xml:space="preserve">Potencia (HP)</t>
  </si>
  <si>
    <t xml:space="preserve">Amplitud (mm)</t>
  </si>
  <si>
    <t xml:space="preserve">Carga lineal estática (kg/cm)</t>
  </si>
  <si>
    <t xml:space="preserve">Gradeabilidad (%)</t>
  </si>
  <si>
    <t xml:space="preserve">País de origen</t>
  </si>
  <si>
    <t xml:space="preserve">Asistente de compactación</t>
  </si>
  <si>
    <t xml:space="preserve">Telemetría</t>
  </si>
  <si>
    <t xml:space="preserve">Tecnologías innovadoras</t>
  </si>
  <si>
    <t xml:space="preserve">USP</t>
  </si>
  <si>
    <t xml:space="preserve">USP 1</t>
  </si>
  <si>
    <t xml:space="preserve">USP 2</t>
  </si>
  <si>
    <t xml:space="preserve">USP 3</t>
  </si>
  <si>
    <t xml:space="preserve">USP 4</t>
  </si>
  <si>
    <t xml:space="preserve">USP 5</t>
  </si>
  <si>
    <t xml:space="preserve">USP 6</t>
  </si>
  <si>
    <t xml:space="preserve">Profundidad de compactación máx.</t>
  </si>
  <si>
    <t xml:space="preserve">Rendimiento en compactación (m³/h, ficha)</t>
  </si>
  <si>
    <t xml:space="preserve">Consumo de combustible (L/h)</t>
  </si>
  <si>
    <t xml:space="preserve">Precio CIF (USD)</t>
  </si>
  <si>
    <t xml:space="preserve">Mant. preventivo (USD/h)</t>
  </si>
  <si>
    <t xml:space="preserve">Mant. correctivo (USD/h)</t>
  </si>
  <si>
    <t xml:space="preserve">Tiempo de uso (h)</t>
  </si>
  <si>
    <t xml:space="preserve">TCO estático app (USD)</t>
  </si>
  <si>
    <t xml:space="preserve">Línea de tiempo TCO (datos app)</t>
  </si>
  <si>
    <t xml:space="preserve">BOMAG</t>
  </si>
  <si>
    <t xml:space="preserve">BW211 D-5 SL</t>
  </si>
  <si>
    <t xml:space="preserve">93500000</t>
  </si>
  <si>
    <t xml:space="preserve">Cummins 4BT 3.9</t>
  </si>
  <si>
    <t xml:space="preserve">1.80 / 0.95</t>
  </si>
  <si>
    <t xml:space="preserve">India</t>
  </si>
  <si>
    <t xml:space="preserve">BOMAG ECONOMIZER
Sistema visual que permite a los operadores medir el progreso de la compactación en tiempo real. Utiliza una escala LED en la cabina para mostrar el nivel de compactación alcanzado, ayudando a evitar sobrecompacción o subcompactación. (Estandar)
BOMAG TERRAMETER
Sistema que mide la rigidez del suelo mediante la vibración del tambor. Ofrece una lectura en tiempo real del módulo de elasticidad del material compactado, lo que facilita el control preciso de la compactación y la trazabilidad de los trabajos. Evib - MN/m2</t>
  </si>
  <si>
    <t xml:space="preserve">Telematics</t>
  </si>
  <si>
    <t xml:space="preserve">Economizer, TERRAMETER (Evib real), VARIOCONTROL, ECOMODE, TELEMATIC</t>
  </si>
  <si>
    <t xml:space="preserve">Operación Intuitiva
* Un switch para cada función
* Símbolos intuitivos facilitan la operación</t>
  </si>
  <si>
    <t xml:space="preserve">Rendimiento de compactación más alto
* Máximas amplitudes para un efecto de compactación más profundo (Larger amplitud 2,2 mm)
* Flexibilidad en el montaje del kit pata de cabra</t>
  </si>
  <si>
    <t xml:space="preserve">Junta de articulación libre de mantenimiento</t>
  </si>
  <si>
    <t xml:space="preserve">Trabajo comfortable y seguro
* Espacio de trabajo amplio y con excelente  visibilidad</t>
  </si>
  <si>
    <t xml:space="preserve">Compactación eficiente
Medición y documentación en tiempo real usando: ECONOMIZER, TERRAMETER y BOMAP</t>
  </si>
  <si>
    <t xml:space="preserve">Fácil mantenimiento
* Todos los componentes dispuestos para un fácil acceso 
* Menos mantenimiento en el sistema de refrigeración debido al el punto alto de entrada de aire, menos propenso a contaminación</t>
  </si>
  <si>
    <t xml:space="preserve">270 - 540</t>
  </si>
  <si>
    <t xml:space="preserve">1000 h: precio 42800 / TCO 109072.78; 1500 h: precio 50200 / TCO 109072.78; 2000 h: precio 57600 / TCO 109072.78; 2500 h: precio 65000 / TCO 109072.78; 3000 h: precio 72400 / TCO 109072.78</t>
  </si>
  <si>
    <t xml:space="preserve">93500004</t>
  </si>
  <si>
    <t xml:space="preserve">Cummins 4BTAA 3.9</t>
  </si>
  <si>
    <t xml:space="preserve">1000 h: precio 44430 / TCO 110854; 1500 h: precio 51830 / TCO 110854; 2000 h: precio 59230 / TCO 110854; 2500 h: precio 66630 / TCO 110854; 3000 h: precio 74030 / TCO 110854</t>
  </si>
  <si>
    <t xml:space="preserve">58400031</t>
  </si>
  <si>
    <t xml:space="preserve">Deutz BF4M 2012 C</t>
  </si>
  <si>
    <t xml:space="preserve">China</t>
  </si>
  <si>
    <t xml:space="preserve">1000 h: precio 44980 / TCO 117170.18; 1500 h: precio 52680 / TCO 117170.18; 2000 h: precio 60380 / TCO 117170.18; 2500 h: precio 68080 / TCO 117170.18; 3000 h: precio 75780 / TCO 117170.18</t>
  </si>
  <si>
    <t xml:space="preserve">58400033</t>
  </si>
  <si>
    <t xml:space="preserve">Deutz TCD 2012 L04 2V</t>
  </si>
  <si>
    <t xml:space="preserve">1.80 / 0.96</t>
  </si>
  <si>
    <t xml:space="preserve">1000 h: precio 44980 / TCO 120140; 1500 h: precio 52680 / TCO 120140; 2000 h: precio 60380 / TCO 120140; 2500 h: precio 68080 / TCO 120140; 3000 h: precio 75780 / TCO 120140</t>
  </si>
  <si>
    <t xml:space="preserve">BW212 D-5 SL</t>
  </si>
  <si>
    <t xml:space="preserve">58400036</t>
  </si>
  <si>
    <t xml:space="preserve">1000 h: precio 688700 / TCO 122324; 1500 h: precio 802660 / TCO 122324; 2000 h: precio 916620 / TCO 122324; 2500 h: precio 1030580 / TCO 122324; 3000 h: precio 1144540 / TCO 122324</t>
  </si>
  <si>
    <t xml:space="preserve">BW213 D-5 SL</t>
  </si>
  <si>
    <t xml:space="preserve">58400041</t>
  </si>
  <si>
    <t xml:space="preserve">1000 h: precio 713802 / TCO 126588; 1500 h: precio 827762 / TCO 126588; 2000 h: precio 941722 / TCO 126588; 2500 h: precio 1055682 / TCO 126588; 3000 h: precio 1169642 / TCO 126588</t>
  </si>
  <si>
    <t xml:space="preserve">BW213 D-5 SL TCD</t>
  </si>
  <si>
    <t xml:space="preserve">Deutz TCD 2021 L04 2V</t>
  </si>
  <si>
    <t xml:space="preserve">1.90 / 0.96</t>
  </si>
  <si>
    <t xml:space="preserve">BW216 D-5 SL</t>
  </si>
  <si>
    <t xml:space="preserve">Deutz TCD 2013 L04</t>
  </si>
  <si>
    <t xml:space="preserve">-</t>
  </si>
  <si>
    <t xml:space="preserve">BW219 D-5 PL</t>
  </si>
  <si>
    <t xml:space="preserve">Deutz TCD 2012 L06</t>
  </si>
  <si>
    <t xml:space="preserve">2.10 / 1.20</t>
  </si>
  <si>
    <t xml:space="preserve">BW220 D-5 PL</t>
  </si>
  <si>
    <t xml:space="preserve">SAKAI</t>
  </si>
  <si>
    <t xml:space="preserve">SV521D</t>
  </si>
  <si>
    <t xml:space="preserve">ISUZU 4BG1T (Tier 2)</t>
  </si>
  <si>
    <t xml:space="preserve">2.05/0.90</t>
  </si>
  <si>
    <t xml:space="preserve">No aplica</t>
  </si>
  <si>
    <t xml:space="preserve">Especificaciones técnicas
* Motor ISUZU 4BG1T (Tier 2)
* 118 HP
* Peso operativo 10,720 kg</t>
  </si>
  <si>
    <t xml:space="preserve">Rendimiento de compactación
* Amplitud 2.05/0.90 mm
* Fuerza centrífuga 260/ kN
* Carga lineal estática 28 kg/cm</t>
  </si>
  <si>
    <t xml:space="preserve">SV621D</t>
  </si>
  <si>
    <t xml:space="preserve">2.03/0.90</t>
  </si>
  <si>
    <t xml:space="preserve">Especificaciones técnicas
* Motor ISUZU 4BG1T (Tier 2)
* 131 HP
* Peso operativo 13,020 kg</t>
  </si>
  <si>
    <t xml:space="preserve">Rendimiento de compactación
* Amplitud 2.03/0.90 mm
* Fuerza centrífuga 260/ kN
* Carga lineal estática 34 kg/cm</t>
  </si>
  <si>
    <t xml:space="preserve">SV700D</t>
  </si>
  <si>
    <t xml:space="preserve">ISUZU BB-6BG1TRJ</t>
  </si>
  <si>
    <t xml:space="preserve">2.0 / 0.9</t>
  </si>
  <si>
    <t xml:space="preserve">Especificaciones técnicas
* Motor ISUZU BB-6BG1TRJ
* 217 HP
* Peso operativo 14,950 kg</t>
  </si>
  <si>
    <t xml:space="preserve">Rendimiento de compactación
* Amplitud 2.0 / 0.9 mm
* Fuerza centrífuga 275 / 220 kN
* Carga lineal estática 39.9 kg/cm</t>
  </si>
  <si>
    <t xml:space="preserve">SV900-1</t>
  </si>
  <si>
    <t xml:space="preserve">ISUZU AH-4HK1XYLB-01</t>
  </si>
  <si>
    <t xml:space="preserve">1.9 / 1.0</t>
  </si>
  <si>
    <t xml:space="preserve">Especificaciones técnicas
* Motor ISUZU AH-4HK1XYLB-01
* 166 HP
* Peso operativo 19,350 kg</t>
  </si>
  <si>
    <t xml:space="preserve">Rendimiento de compactación
* Amplitud 1.9 / 1.0 mm
* Fuerza centrífuga 343 / 245 kN
* Carga lineal estática 51.4 kg/cm</t>
  </si>
  <si>
    <t xml:space="preserve">DYNAPAC</t>
  </si>
  <si>
    <t xml:space="preserve">CA25 D-Rhino</t>
  </si>
  <si>
    <t xml:space="preserve">Cummins QSF3.8 (T3)</t>
  </si>
  <si>
    <t xml:space="preserve">1.8/0.9</t>
  </si>
  <si>
    <t xml:space="preserve">Suecia/Brasil</t>
  </si>
  <si>
    <t xml:space="preserve">No aplica
Dynapac Compaction Meter (DCM) utiliza un sensor acelerómetro montado en el tambor del compactador, que mide las vibraciones generadas durante la operación. Estas señales se procesan y se presentan como CMV  Cuando el CMV deja de aumentar, se considera que se ha alcanzado la compactación</t>
  </si>
  <si>
    <t xml:space="preserve">Dyn@lizer</t>
  </si>
  <si>
    <t xml:space="preserve">Dynapac Compaction meter (DCM), Dyn@lyzer</t>
  </si>
  <si>
    <t xml:space="preserve">Controles intuitivos: Palancas simples y panel de instrumentos con indicadores claros, fáciles de operar incluso por personal con poca experiencia.</t>
  </si>
  <si>
    <t xml:space="preserve">Compactación efectiva
* Gracias a su peso operativo y potencia, logra una compactación eficiente en menos pasadas.
* Amplitud dual: Permite seleccionar entre alta y baja amplitud para distintos materiales (granulares vs cohesivos), optimizando el rendimiento.</t>
  </si>
  <si>
    <t xml:space="preserve">Junta de articulación
Ofrece un radio de giro estrecho y seguimiento preciso del terreno.</t>
  </si>
  <si>
    <t xml:space="preserve">Control y confort de operación
* Ofrece visibilidad total del tambor y área de trabajo.
El DCM utiliza un sensor acelerómetro montado en el tambor del compactador, que mide las vibraciones generadas durante la operación</t>
  </si>
  <si>
    <t xml:space="preserve">Mantenimiento y Servicio
Diseño de fácil acceso: El capó del motor se abre completamente, permitiendo un acceso rápido a los puntos de mantenimiento diario (filtros, niveles, correas).</t>
  </si>
  <si>
    <t xml:space="preserve">220 - 350</t>
  </si>
  <si>
    <t xml:space="preserve">CA35 D-Rhino</t>
  </si>
  <si>
    <t xml:space="preserve">Cummins QSF3.8</t>
  </si>
  <si>
    <t xml:space="preserve">1.7/0.8</t>
  </si>
  <si>
    <t xml:space="preserve">CA2500D</t>
  </si>
  <si>
    <t xml:space="preserve">Cummins QSB4.5</t>
  </si>
  <si>
    <t xml:space="preserve">1.80/0.90</t>
  </si>
  <si>
    <t xml:space="preserve">Especificaciones técnicas
* Motor Cummins QSB4.5
* 130 HP
* Peso operativo 10,000 kg</t>
  </si>
  <si>
    <t xml:space="preserve">Rendimiento de compactación
* Amplitud 1.80/0.90 mm
* Fuerza centrífuga 205/100 kN
* Carga lineal estática 26 kg/cm</t>
  </si>
  <si>
    <t xml:space="preserve">CA3500D</t>
  </si>
  <si>
    <t xml:space="preserve">Cummins QSB6.7</t>
  </si>
  <si>
    <t xml:space="preserve">2.00/0.95</t>
  </si>
  <si>
    <t xml:space="preserve">CA4500D</t>
  </si>
  <si>
    <t xml:space="preserve">Cummins QSC8.3</t>
  </si>
  <si>
    <t xml:space="preserve">2.10/1.05</t>
  </si>
  <si>
    <t xml:space="preserve">Especificaciones técnicas
* Motor Cummins QSC8.3
* 250 HP
* Peso operativo 21,000 kg</t>
  </si>
  <si>
    <t xml:space="preserve">Rendimiento de compactación
* Amplitud 2.10/1.05 mm
* Fuerza centrífuga 340/170 kN
* Carga lineal estática 49.3 kg/cm</t>
  </si>
  <si>
    <t xml:space="preserve">DYNAPAC REDLINE</t>
  </si>
  <si>
    <t xml:space="preserve">DRS120D</t>
  </si>
  <si>
    <t xml:space="preserve">Dynapac 4-cyl turbo</t>
  </si>
  <si>
    <t xml:space="preserve">Especificaciones técnicas
* Motor Dynapac 4-cyl turbo
* 105 HP
* Peso operativo 11,400 kg</t>
  </si>
  <si>
    <t xml:space="preserve">Rendimiento de compactación
* Carga lineal estática 32 kg/cm</t>
  </si>
  <si>
    <t xml:space="preserve">HAMM</t>
  </si>
  <si>
    <t xml:space="preserve">HC110</t>
  </si>
  <si>
    <t xml:space="preserve">JDPS 4045PTE</t>
  </si>
  <si>
    <t xml:space="preserve">1.95/0.85</t>
  </si>
  <si>
    <t xml:space="preserve">Alemania</t>
  </si>
  <si>
    <t xml:space="preserve">No aplica
HAMM SmartCompaction Value (Solo si es Serie VA)
El sistema determina el valor de capacidad de carga actual SCV (Smart Compaction Value) del suelo en MN/m². A continuación, el asistente de compactación coloca automáticamente el sistema de desequilibrio en el tambor VA especialmente desarrollado en todas las situaciones, de modo que siempre oscile con la amplitud óptima</t>
  </si>
  <si>
    <t xml:space="preserve">Smart Doc</t>
  </si>
  <si>
    <t xml:space="preserve">EcoStop, SmartCompaction, vibración adaptativa</t>
  </si>
  <si>
    <t xml:space="preserve">Conducción y maniobrabilidad
* Bloqueo integrado de la articulación pendular
* Control de tracción para una óptima transmisión de potencia</t>
  </si>
  <si>
    <t xml:space="preserve">Calidad de compactación
* Asistente Smart Compact para el ajuste automático
de la potencia de compactación
*Alta carga lineal y fuerza centrífuga</t>
  </si>
  <si>
    <t xml:space="preserve">Articulación pendular de 3 puntos para una estabilidad direccional superior</t>
  </si>
  <si>
    <t xml:space="preserve">Control y confort
* Gran espacio y comodidad de uso
* Condiciones de trabajo ergonómicamente optimizadas
gracias a su concepto operativo Easy Drive</t>
  </si>
  <si>
    <t xml:space="preserve">Sistema de asistencia de compactación 
Interfaces digitales
* John Deere Operations CenterTM
* Track Assist &amp; WPT Compacting
* Smart Compact</t>
  </si>
  <si>
    <t xml:space="preserve">Mantenimiento eficiente
Todos los puntos de mantenimiento, la refrigeración de aceite y de agua y la batería son cómodamente accesibles y están concentrados
en un lado de la máquina</t>
  </si>
  <si>
    <t xml:space="preserve">250 - 400</t>
  </si>
  <si>
    <t xml:space="preserve">HC119</t>
  </si>
  <si>
    <t xml:space="preserve">1.90/0.90</t>
  </si>
  <si>
    <t xml:space="preserve">H13i</t>
  </si>
  <si>
    <t xml:space="preserve">Deutz TCD2012</t>
  </si>
  <si>
    <t xml:space="preserve">1.90/0.80</t>
  </si>
  <si>
    <t xml:space="preserve">Especificaciones técnicas
* Motor Deutz TCD2012
* 130 HP
* Peso operativo 12,600 kg</t>
  </si>
  <si>
    <t xml:space="preserve">Rendimiento de compactación
* Amplitud 1.90/0.80 mm
* Fuerza centrífuga 213/90 kN
* Carga lineal estática 29.6 kg/cm</t>
  </si>
  <si>
    <t xml:space="preserve">H16i</t>
  </si>
  <si>
    <t xml:space="preserve">Deutz TCD3.6 L6</t>
  </si>
  <si>
    <t xml:space="preserve">2.13/0.95</t>
  </si>
  <si>
    <t xml:space="preserve">Especificaciones técnicas
* Motor Deutz TCD3.6 L6
* 168 HP
* Peso operativo 16,430 kg</t>
  </si>
  <si>
    <t xml:space="preserve">Rendimiento de compactación
* Amplitud 2.13/0.95 mm
* Fuerza centrífuga 328/150 kN
* Carga lineal estática 38.4 kg/cm</t>
  </si>
  <si>
    <t xml:space="preserve">H18i</t>
  </si>
  <si>
    <t xml:space="preserve">Deutz TCD3.6</t>
  </si>
  <si>
    <t xml:space="preserve">2.10/0.90</t>
  </si>
  <si>
    <t xml:space="preserve">Especificaciones técnicas
* Motor Deutz TCD3.6
* 215 HP
* Peso operativo 18,000 kg</t>
  </si>
  <si>
    <t xml:space="preserve">Rendimiento de compactación
* Amplitud 2.10/0.90 mm
* Fuerza centrífuga 354/160 kN
* Carga lineal estática 42.1 kg/cm</t>
  </si>
  <si>
    <t xml:space="preserve">H25i</t>
  </si>
  <si>
    <t xml:space="preserve">Liebherr D946</t>
  </si>
  <si>
    <t xml:space="preserve">2.00/0.90</t>
  </si>
  <si>
    <t xml:space="preserve">Especificaciones técnicas
* Motor Liebherr D946
* 215 HP
* Peso operativo 24,925 kg</t>
  </si>
  <si>
    <t xml:space="preserve">Rendimiento de compactación
* Amplitud 2.00/0.90 mm
* Fuerza centrífuga 380/190 kN
* Carga lineal estática 58.3 kg/cm</t>
  </si>
  <si>
    <t xml:space="preserve">CATERPILLAR</t>
  </si>
  <si>
    <t xml:space="preserve">CS10GC</t>
  </si>
  <si>
    <t xml:space="preserve">Cat C4.4</t>
  </si>
  <si>
    <t xml:space="preserve">2.0/1.0</t>
  </si>
  <si>
    <t xml:space="preserve">CAT Machine Drive Power (MDP)
Este sistema mide la resistencia del terreno durante la compactación, proporcionando datos en tiempo real sobre la capacidad de trabajo del equipo y las condiciones del suelo. Permite ajustar la intensidad de la compactación para evitar sobrecarga en el motor y mejorar la eficiencia. (Opcional)
CAT Compaction Meter Value (CMV) Sistema que mide en tiempo real la rigidez del suelo a medida que el tambor vibrante pasa sobre él. El valor se muestra en la cabina, permitiendo a los operadores monitorear el progreso de la compactación.</t>
  </si>
  <si>
    <t xml:space="preserve">Vision Link</t>
  </si>
  <si>
    <t xml:space="preserve">MDP, CMV, AccuGrade Compaction, Eco-mode, Vision Link</t>
  </si>
  <si>
    <t xml:space="preserve">Controles ergonómicos y simples:
* Palanca de control única para avance, vibración y dirección.
* Instrumentación digital fácil de leer.</t>
  </si>
  <si>
    <t xml:space="preserve">Mayor carga lineal estática
Tambor de alto peso y excelente contacto con el suelo para lograr profundidad efectiva de compactación.</t>
  </si>
  <si>
    <t xml:space="preserve">Plataforma con asiento ajustable, controles a mano, y excelente visibilidad de 360°.
Vibración automática (Auto Vibe): El sistema puede activar/desactivar la vibración de forma automática según la velocidad del rodillo o si está detenido, mejorando el control del proces</t>
  </si>
  <si>
    <t xml:space="preserve">* Amplitud más alta del mercado
* MDP exclusivo de CAT: Mide la resistencia al avance del tambor como un indicador directo del nivel de compactación (ventaja clave frente a modelos tradicionales).</t>
  </si>
  <si>
    <t xml:space="preserve">Mantenimiento y Servicio
Diseño orientado a bajo mantenimiento:
* Intervalos de mantenimiento extendidos.
* Reducción de puntos de lubricación gracias al uso de componentes sellados.</t>
  </si>
  <si>
    <t xml:space="preserve">200</t>
  </si>
  <si>
    <t xml:space="preserve">CS11GC</t>
  </si>
  <si>
    <t xml:space="preserve">Cat C4.4 (Tier 3)</t>
  </si>
  <si>
    <t xml:space="preserve">1.88/0.91</t>
  </si>
  <si>
    <t xml:space="preserve">CMV, AccuGrade Compaction, Eco-mode, Vision Link</t>
  </si>
  <si>
    <t xml:space="preserve">Controles ergonómicos y simples:
* Palanca de control única para avance, vibración y dirección.
* Pantalla integranda en palanca de control.
* Cambio de velocidad asistida
* Instrumentación digital fácil de leer.</t>
  </si>
  <si>
    <t xml:space="preserve">CS12</t>
  </si>
  <si>
    <t xml:space="preserve">Cat C7.1</t>
  </si>
  <si>
    <t xml:space="preserve">2.1/0.98</t>
  </si>
  <si>
    <t xml:space="preserve">No aplica
CAT Compaction Meter Value (CMV) Sistema que mide en tiempo real la rigidez del suelo a medida que el tambor vibrante pasa sobre él. El valor se muestra en la cabina, permitiendo a los operadores monitorear el progreso de la compactación.</t>
  </si>
  <si>
    <t xml:space="preserve">Diseñado con un sistema de propulsión de doble bomba, las dos bombas suministran un flujo separado y dedicado al motor de accionamiento del tambor y al motor del eje trasero, lo que garantiza una capacidad de ascenso y tracción excepcionales tanto en avance como en retroceso</t>
  </si>
  <si>
    <t xml:space="preserve">* Amplitud más alta del mercado</t>
  </si>
  <si>
    <t xml:space="preserve">CS13GC</t>
  </si>
  <si>
    <t xml:space="preserve">Especificaciones técnicas
* Motor Cat C4.4 (Tier 3)
* 100 HP
* Peso operativo 12,700 kg</t>
  </si>
  <si>
    <t xml:space="preserve">Rendimiento de compactación
* Amplitud 2.10/1.05 mm
* Fuerza centrífuga 208/100 kN
* Carga lineal estática 30 kg/cm</t>
  </si>
  <si>
    <t xml:space="preserve">XCMG</t>
  </si>
  <si>
    <t xml:space="preserve">XS113E</t>
  </si>
  <si>
    <t xml:space="preserve">Weichai WP4</t>
  </si>
  <si>
    <t xml:space="preserve">Brasil</t>
  </si>
  <si>
    <t xml:space="preserve">No aplica
No aplica</t>
  </si>
  <si>
    <t xml:space="preserve">XCMG Telematics</t>
  </si>
  <si>
    <t xml:space="preserve">Diseño robusto, excelente acceso a mantenimiento y componentes estandarizados para máxima disponibilidad en campo.</t>
  </si>
  <si>
    <t xml:space="preserve">Calidad de Compactación
* Rendimiento adecuado para compactación de capas gruesas y materiales cohesivos.
* Diseño del tambor que reduce rebotes y mejora la uniformidad.</t>
  </si>
  <si>
    <t xml:space="preserve">Junta de Articulación
Articulación oscilante de diseño robusto.</t>
  </si>
  <si>
    <t xml:space="preserve">Control y Confort
* Cabina opcional con buena visibilidad.
* Panel de instrumentos digital con indicadores de trabajo.
* Asiento ajustable, pero menor confort que modelos premium.</t>
  </si>
  <si>
    <t xml:space="preserve">Mantenimiento y Servicio
Capó lateral basculante, acceso rápido a motor y componentes hidráulicos.
Módulos eléctricos centralizados.
Motores Weichai o Cummins con buena cobertura de repuestos.</t>
  </si>
  <si>
    <t xml:space="preserve">XS123</t>
  </si>
  <si>
    <t xml:space="preserve">XS143J</t>
  </si>
  <si>
    <t xml:space="preserve">Cummins B5.9</t>
  </si>
  <si>
    <t xml:space="preserve">1.90/0.95</t>
  </si>
  <si>
    <t xml:space="preserve">Especificaciones técnicas
* Motor Cummins B5.9
* 150 HP
* Peso operativo 14,000 kg</t>
  </si>
  <si>
    <t xml:space="preserve">Rendimiento de compactación
* Amplitud 1.90/0.95 mm
* Fuerza centrífuga 230/115 kN</t>
  </si>
  <si>
    <t xml:space="preserve">XS162J</t>
  </si>
  <si>
    <t xml:space="preserve">Especificaciones técnicas
* Motor Cummins B5.9
* 161 HP
* Peso operativo 16,000 kg</t>
  </si>
  <si>
    <t xml:space="preserve">Rendimiento de compactación
* Amplitud 2.00/0.95 mm
* Fuerza centrífuga 260/130 kN</t>
  </si>
  <si>
    <t xml:space="preserve">XS182</t>
  </si>
  <si>
    <t xml:space="preserve">1.86/</t>
  </si>
  <si>
    <t xml:space="preserve">Especificaciones técnicas
* Motor Cummins B5.9
* 174 HP
* Peso operativo 18,000 kg</t>
  </si>
  <si>
    <t xml:space="preserve">Rendimiento de compactación
* Amplitud 1.86/ mm
* Carga lineal estática 53.9 kg/cm</t>
  </si>
  <si>
    <t xml:space="preserve">XS203J</t>
  </si>
  <si>
    <t xml:space="preserve">2.00/1.00</t>
  </si>
  <si>
    <t xml:space="preserve">Especificaciones técnicas
* Motor Cummins QSB6.7
* 200 HP
* Peso operativo 20,000 kg</t>
  </si>
  <si>
    <t xml:space="preserve">Rendimiento de compactación
* Amplitud 2.00/1.00 mm
* Fuerza centrífuga 310/155 kN</t>
  </si>
  <si>
    <t xml:space="preserve">SANY</t>
  </si>
  <si>
    <t xml:space="preserve">SSR120C-8</t>
  </si>
  <si>
    <t xml:space="preserve">Especificaciones técnicas
* Motor Cummins QSB4.5
* 145 HP
* Peso operativo 11,580 kg</t>
  </si>
  <si>
    <t xml:space="preserve">Rendimiento de compactación
* Amplitud 1.80/0.90 mm
* Fuerza centrífuga 190/95 kN</t>
  </si>
  <si>
    <t xml:space="preserve">SSR120C-10</t>
  </si>
  <si>
    <t xml:space="preserve">ISUZU 4JJ1</t>
  </si>
  <si>
    <t xml:space="preserve">Especificaciones técnicas
* Motor ISUZU 4JJ1
* 130 HP
* Peso operativo 12,000 kg</t>
  </si>
  <si>
    <t xml:space="preserve">Rendimiento de compactación
* Amplitud 1.80/0.90 mm
* Fuerza centrífuga 205/100 kN</t>
  </si>
  <si>
    <t xml:space="preserve">SSR120C-10S</t>
  </si>
  <si>
    <t xml:space="preserve">DONGFENG CUMMINS QSB3.9-C150-3</t>
  </si>
  <si>
    <t xml:space="preserve">China/Brasil</t>
  </si>
  <si>
    <t xml:space="preserve">Tracción automática, vibración doble, telematics-ready</t>
  </si>
  <si>
    <t xml:space="preserve">Controles fáciles de usar:
* Palanca tipo joystick para dirección, vibración y cambio de marcha.</t>
  </si>
  <si>
    <t xml:space="preserve">Calidad de compactación
* Fuerza centrífuga hasta 320 kN, una de las más altas del segmento.
* Sistema de vibración confiable con buena transferencia de energía.
* Distribución de peso balanceada para compactación uniforme.</t>
  </si>
  <si>
    <t xml:space="preserve">Articulación con oscilación hidráulica y gran ángulo de giro.</t>
  </si>
  <si>
    <t xml:space="preserve">Control y Confort
* Cabina cerrada ROPS/FOPS opcional con aire acondicionado y asiento neumático.
* Palanca tipo joystick para dirección, vibración y cambio de marcha.
* Bajo nivel de vibración transmitida al operador.</t>
  </si>
  <si>
    <t xml:space="preserve">Sistema inteligente de control de vibración que ajusta la potencia según la resistencia del suelo, evitando sobrecompactación.</t>
  </si>
  <si>
    <t xml:space="preserve">Mantenimiento y Servicio
* Capó de apertura total con acceso a 3 lados del motor.
* Sistema de diagnóstico electrónico desde la pantalla de control.
* Componentes hidráulicos y eléctricos dispuestos para fácil inspección.</t>
  </si>
  <si>
    <t xml:space="preserve">300 - 500</t>
  </si>
  <si>
    <t xml:space="preserve">SHANTUI</t>
  </si>
  <si>
    <t xml:space="preserve">SR16</t>
  </si>
  <si>
    <t xml:space="preserve">2.0/0.9</t>
  </si>
  <si>
    <t xml:space="preserve">Especificaciones técnicas
* Motor Cummins QSB6.7
* 168 HP
* Peso operativo 16,000 kg</t>
  </si>
  <si>
    <t xml:space="preserve">Rendimiento de compactación
* Amplitud 2.0/0.9 mm</t>
  </si>
  <si>
    <t xml:space="preserve">SR22</t>
  </si>
  <si>
    <t xml:space="preserve">2.1/1.0</t>
  </si>
  <si>
    <t xml:space="preserve">Especificaciones técnicas
* Motor Cummins QSC8.3
* 236 HP
* Peso operativo 22,000 kg</t>
  </si>
  <si>
    <t xml:space="preserve">Rendimiento de compactación
* Amplitud 2.1/1.0 mm</t>
  </si>
  <si>
    <t xml:space="preserve">JCB</t>
  </si>
  <si>
    <t xml:space="preserve">116D</t>
  </si>
  <si>
    <t xml:space="preserve">JCB DIESELMAX TCA-85</t>
  </si>
  <si>
    <t xml:space="preserve">1.8/0.8</t>
  </si>
  <si>
    <t xml:space="preserve">IntelliCompaction  Proporciona un valor de compactación relativa, lo que ayuda a lograr una compactación consistente y uniforme en todo el parche.
No aplica</t>
  </si>
  <si>
    <t xml:space="preserve">LiveLinks Telematics, CCOMPATRONIC (compaction measurement device)</t>
  </si>
  <si>
    <t xml:space="preserve">Calidad de Compactación
* Buen rendimiento para suelos compactables en obras viales, rurales o plataformas.
* Sistema de vibración robusto</t>
  </si>
  <si>
    <t xml:space="preserve">Control y Confort
Cabina abierta o cerrada con controles simples.
Panel analógico, sin diagnóstico digital.
Ideal para operadores con poca experiencia.</t>
  </si>
  <si>
    <t xml:space="preserve">Mantenimiento y Servicio
* Motor JCB DieselMax altamente confiable, sin electrónica compleja.
* Capó con apertura completa para acceso rápido.
* Menor necesidad de técnicos especializados.</t>
  </si>
  <si>
    <t xml:space="preserve">200 - 350</t>
  </si>
  <si>
    <t xml:space="preserve">VM115</t>
  </si>
  <si>
    <t xml:space="preserve">JCB DieselMAX</t>
  </si>
  <si>
    <t xml:space="preserve">VM137</t>
  </si>
  <si>
    <t xml:space="preserve">Especificaciones técnicas
* Motor JCB DieselMAX
* 125 HP
* Peso operativo 13,700 kg</t>
  </si>
  <si>
    <t xml:space="preserve">Rendimiento de compactación
* Amplitud 2.00/1.00 mm</t>
  </si>
  <si>
    <t xml:space="preserve">NEW HOLLAND</t>
  </si>
  <si>
    <t xml:space="preserve">V110</t>
  </si>
  <si>
    <t xml:space="preserve">S8000 4-stroke</t>
  </si>
  <si>
    <t xml:space="preserve">ReadyKit básico (en algunas versiones), cabina optimizada</t>
  </si>
  <si>
    <t xml:space="preserve">Controles básicos y mecánicos:
* Fáciles de usar, ideales para operadores con poca capacitación.
* Palanca de avance/reversa con control de vibración independiente.</t>
  </si>
  <si>
    <t xml:space="preserve">Mayor tracción y maniobrabilidad
Gracias a su sistema de doble tracción (Drum Drive), el rodillo compactador New Holland domina fácilmente los terrenos más empinados, mientras que su ángulo de giro de 37 grados proporciona una maniobrabilidad excepcional, simplificando el trabajo en espacios reducidos.</t>
  </si>
  <si>
    <t xml:space="preserve">Junta de articulación
Ofrece un radio de giro 37° y seguimiento preciso del terreno.</t>
  </si>
  <si>
    <t xml:space="preserve">Cabina confortable
Una vez dentro, el ambiente está protegido por la estructura ROPS/FOPS, incluye aire acondicionado y está diseñado para absorber y minimizar las vibraciones generadas durante la operación, asegurando una experiencia de trabajo fluida y sin estrés.</t>
  </si>
  <si>
    <t xml:space="preserve">Compactación eficiente
Equipado con dos etapas de vibración para adaptarse a diferentes tipos de suelo, y además con un kit de pata de cabra, garantiza resultados impecables en cualquier tarea.</t>
  </si>
  <si>
    <t xml:space="preserve">Fácil mantenimiento
Con un diseño de capó y compartimiento del motor de una sola pieza, el acceso al rodillo compactador New Holland es fácil para verificar los componentes esenciales, lo que facilita el trabajo del operador y proporciona mayor seguridad y disponibilidad operativa.</t>
  </si>
  <si>
    <t xml:space="preserve">200 - 300</t>
  </si>
  <si>
    <t xml:space="preserve">AMMANN</t>
  </si>
  <si>
    <t xml:space="preserve">ASC110</t>
  </si>
  <si>
    <t xml:space="preserve">Cummins QSB 4.5-C160</t>
  </si>
  <si>
    <t xml:space="preserve">1.85/0.9</t>
  </si>
  <si>
    <t xml:space="preserve">AMMANN ACEforce
 Tecnología de ajuste activo de la vibración, que ajusta continuamente la amplitud y la frecuencia del tambor según las condiciones del terreno. Esto mejora la eficiencia y la uniformidad de la compactación.
No aplica</t>
  </si>
  <si>
    <t xml:space="preserve">ECOdrop, telemetría, control automático de vibración</t>
  </si>
  <si>
    <t xml:space="preserve">Estación del operador
El control intuitivo de la máquina facilita su uso. Las funciones avanzadas garantizan que incluso los principiantes sean productivos y de alto rendimiento.</t>
  </si>
  <si>
    <t xml:space="preserve">Alto rendimiento de compactación
Compactación más rápida de capas más gruesas en menos pasadas.</t>
  </si>
  <si>
    <t xml:space="preserve">Articulación central con bloqueo hidráulico y oscilación automática</t>
  </si>
  <si>
    <t xml:space="preserve">Uso cómodo
• El diseño sencillo del panel de
instrumentos permite un control
fácil y seguro
• Para asegurar la máxima
comodidad la plataforma del
operario está montada en
alojamientos de goma que
amortigua las vibraciones</t>
  </si>
  <si>
    <t xml:space="preserve">Tecnología ACE
* ACEpro ajusta continuamente la frecuencia y amplitud según los valores obtenidos:
• ACEpro elimina los saltos de los tambores
y por eso minimiza el riesgo de excesiva
compactación o deterioro del material
• ACEforce muestra el proceso de compactación mediante la función de
guiado del operario</t>
  </si>
  <si>
    <t xml:space="preserve">Diseño de fácil mantenimiento
Tiempo de inactividad minimizado
gracias a procesos de mantenimiento sencillos y un diseño robusto de la máquina y sus componentes.</t>
  </si>
  <si>
    <t xml:space="preserve">280 - 450</t>
  </si>
  <si>
    <t xml:space="preserve">SEM</t>
  </si>
  <si>
    <t xml:space="preserve">510</t>
  </si>
  <si>
    <t xml:space="preserve">WP4G130E22</t>
  </si>
  <si>
    <t xml:space="preserve">Su sistema de operación es muy sencillo: cuenta únicamente con dos palancas de control, una para el acelerador y otra para el control de avance/retroceso y freno</t>
  </si>
  <si>
    <t xml:space="preserve">Se utilizan ampliamente en trabajos viales, sub-bases, estacionamientos, desarrollos de obra, excavaciones para agua y alcantarillado, así como en terrenos inclinados y superficies irregulare</t>
  </si>
  <si>
    <t xml:space="preserve">Diseño excéntrico tipo ‘pod’.
Doble amplitud y frecuencia con bomba y motor de pistón que disminuye las rutinas de mantenimiento</t>
  </si>
  <si>
    <t xml:space="preserve">CASE</t>
  </si>
  <si>
    <t xml:space="preserve">1107EX</t>
  </si>
  <si>
    <t xml:space="preserve">S 8000</t>
  </si>
  <si>
    <t xml:space="preserve">El sistema opcional de accionamiento del tambor incorpora un motor de alto par en el bastidor delantero, lo que proporciona una excelente capacidad de ascenso (36%) y tracción optimizada.</t>
  </si>
  <si>
    <t xml:space="preserve">Control y Confort
Sistema de aire acondicionado y calefacción eficiente con 8 difusores</t>
  </si>
  <si>
    <t xml:space="preserve">Mantenimiento y Servicio
El mantenimiento diario y regular es posible desde el nivel del suelo gracias al capó abatible de una sola pieza. La reducción de tiempos de inactividad y de costos operativos se traduce en mayor productividad y mejor rentabilidad.</t>
  </si>
  <si>
    <t xml:space="preserve">Sistema de compactación</t>
  </si>
  <si>
    <t xml:space="preserve">Tanque de agua (L)</t>
  </si>
  <si>
    <t xml:space="preserve">Junta de articulación</t>
  </si>
  <si>
    <t xml:space="preserve">Confort y seguridad</t>
  </si>
  <si>
    <t xml:space="preserve">Compactación eficiente</t>
  </si>
  <si>
    <t xml:space="preserve">Tecnología ACE</t>
  </si>
  <si>
    <t xml:space="preserve">Mantenimiento fácil</t>
  </si>
  <si>
    <t xml:space="preserve">TCO estático (USD)</t>
  </si>
  <si>
    <t xml:space="preserve">BW120 AD-5</t>
  </si>
  <si>
    <t xml:space="preserve">Kubota D1703</t>
  </si>
  <si>
    <t xml:space="preserve">0.5</t>
  </si>
  <si>
    <t xml:space="preserve">Germany/China</t>
  </si>
  <si>
    <t xml:space="preserve">Economizer - Sensor de rigidez del suelo</t>
  </si>
  <si>
    <t xml:space="preserve">Bajos TCO (Servicio/Matenimiento/Reparación/confiabilidad)</t>
  </si>
  <si>
    <t xml:space="preserve">Fácil y seguro de operar. Economizer (Opción) Incluye indicador de temperatura</t>
  </si>
  <si>
    <t xml:space="preserve">Vibratory</t>
  </si>
  <si>
    <t xml:space="preserve">Articulación de la rueda</t>
  </si>
  <si>
    <t xml:space="preserve">0 h: precio 28000 / TCO 49700; 1000 h: precio 32900 / TCO 49700; 1500 h: precio 35350 / TCO 49700; 2000 h: precio 37800 / TCO 49700; 2500 h: precio 40250 / TCO 49700; 3000 h: precio 42700 / TCO 49700</t>
  </si>
  <si>
    <t xml:space="preserve">CB2.7GC</t>
  </si>
  <si>
    <t xml:space="preserve">CAT C1.7T</t>
  </si>
  <si>
    <t xml:space="preserve">0.52</t>
  </si>
  <si>
    <t xml:space="preserve">CMV (Compaction Meter Value)</t>
  </si>
  <si>
    <t xml:space="preserve">Rodillo de bajo costo operativo, ideal para flotas de alquiler o trabajos donde la simplicidad y confiabilidad mecánica son prioridad.</t>
  </si>
  <si>
    <t xml:space="preserve">0 h: precio 29630 / TCO 52205; 1000 h: precio 34930 / TCO 52205; 1500 h: precio 37580 / TCO 52205; 2000 h: precio 40230 / TCO 52205; 2500 h: precio 42880 / TCO 52205; 3000 h: precio 45530 / TCO 52205</t>
  </si>
  <si>
    <t xml:space="preserve">HD12 VV</t>
  </si>
  <si>
    <t xml:space="preserve">Kubota D1503</t>
  </si>
  <si>
    <t xml:space="preserve">Czech</t>
  </si>
  <si>
    <t xml:space="preserve">HAMM Compaction Meter: Sensor de aceleración / frecuencia</t>
  </si>
  <si>
    <t xml:space="preserve">Máxima maniobrabilidad con doble tambor vibratorio y opción de configuración para zonas urbanas estrechas</t>
  </si>
  <si>
    <t xml:space="preserve">0 h: precio 29580 / TCO 53030; 1000 h: precio 34880 / TCO 53030; 1500 h: precio 37480 / TCO 53030; 2000 h: precio 40080 / TCO 53030; 2500 h: precio 42680 / TCO 53030; 3000 h: precio 45280 / TCO 53030</t>
  </si>
  <si>
    <t xml:space="preserve">CC1200</t>
  </si>
  <si>
    <t xml:space="preserve">Kubota D1703-M</t>
  </si>
  <si>
    <t xml:space="preserve">0.508</t>
  </si>
  <si>
    <t xml:space="preserve">DCA-A Sensor de aceleración / amplitud</t>
  </si>
  <si>
    <t xml:space="preserve">Chasis compacto con diseño en tándem y opción de sistema DCA para trazabilidad por zonas (en modelos superiores).</t>
  </si>
  <si>
    <t xml:space="preserve">0 h: precio 26783 / TCO 49358; 1000 h: precio 31783 / TCO 49358; 1500 h: precio 34283 / TCO 49358; 2000 h: precio 36783 / TCO 49358; 2500 h: precio 39283 / TCO 49358; 3000 h: precio 41783 / TCO 49358</t>
  </si>
  <si>
    <t xml:space="preserve">ARX 26</t>
  </si>
  <si>
    <t xml:space="preserve">Yanmar 3TNV88F</t>
  </si>
  <si>
    <t xml:space="preserve">0.6</t>
  </si>
  <si>
    <t xml:space="preserve">Switzerland</t>
  </si>
  <si>
    <t xml:space="preserve">ACEforce: Sensor de rigidez dinámica</t>
  </si>
  <si>
    <t xml:space="preserve">Tecnología de compactación activa que ajusta automáticamente la vibración según la rigidez del suelo para optimizar el número de pasadas.</t>
  </si>
  <si>
    <t xml:space="preserve">0 h: precio 25500 / TCO 50350; 1000 h: precio 29500 / TCO 50350; 1500 h: precio 31500 / TCO 50350; 2000 h: precio 33500 / TCO 50350; 2500 h: precio 35500 / TCO 50350; 3000 h: precio 37500 / TCO 50350</t>
  </si>
  <si>
    <t xml:space="preserve">CT260</t>
  </si>
  <si>
    <t xml:space="preserve">0.51</t>
  </si>
  <si>
    <t xml:space="preserve">0 h: precio 23500 / TCO 49925; 1000 h: precio 27500 / TCO 49925; 1500 h: precio 29500 / TCO 49925; 2000 h: precio 31500 / TCO 49925; 2500 h: precio 33500 / TCO 49925; 3000 h: precio 35500 / TCO 49925</t>
  </si>
  <si>
    <t xml:space="preserve">WACKER NEUSON</t>
  </si>
  <si>
    <t xml:space="preserve">RD27</t>
  </si>
  <si>
    <t xml:space="preserve">Kubota D1903-M</t>
  </si>
  <si>
    <t xml:space="preserve">Germany</t>
  </si>
  <si>
    <t xml:space="preserve">Asphalt Manager</t>
  </si>
  <si>
    <t xml:space="preserve">Sistemas de vibración / notas</t>
  </si>
  <si>
    <t xml:space="preserve">BW161 AD-4</t>
  </si>
  <si>
    <t xml:space="preserve">Deutz TCD L04 2V</t>
  </si>
  <si>
    <t xml:space="preserve">0,94/0,42</t>
  </si>
  <si>
    <t xml:space="preserve">BOMAG ECONOMIZER
Sistema visual que permite a los operadores medir el progreso de la compactación en tiempo real. Utiliza una escala LED en la cabina para mostrar el nivel de compactación alcanzado, ayudando a evitar sobrecompacción o subcompactación.</t>
  </si>
  <si>
    <t xml:space="preserve">BOMAG ASPHALT MANAGER
Ningún otro sistema es tan flexible como la AM: con la amplitud de salida variable, puede ser potente o sensible. Se aplica el nivel de fuerza adecuado en la dirección correcta en cualquier aplicación: Adaptación del tambor de vibración hasta oscilación. Medición del Evib en MN/m2</t>
  </si>
  <si>
    <t xml:space="preserve">Telematic, BOMAP</t>
  </si>
  <si>
    <t xml:space="preserve">TANGO, ASPHALT MANAGER, ECONOMIZER ECOMODE, TELEMATIC</t>
  </si>
  <si>
    <t xml:space="preserve">3 sistemas de vibración
Solo los rodillos tándem BOMAG le ofrecen tres sistemas de vibración. Con doble vibración, TanGO y ASPHALT MANAGER, tiene tres tecnologías para elegir.</t>
  </si>
  <si>
    <t xml:space="preserve">150-200</t>
  </si>
  <si>
    <t xml:space="preserve">0 h: precio 28000 / TCO 28000; 1000 h: precio - / TCO 35000; 2000 h: precio - / TCO 42000</t>
  </si>
  <si>
    <t xml:space="preserve">AV110X</t>
  </si>
  <si>
    <t xml:space="preserve">Cummins QSB3.3-C99</t>
  </si>
  <si>
    <t xml:space="preserve">0,7/0,35</t>
  </si>
  <si>
    <t xml:space="preserve">República Checa</t>
  </si>
  <si>
    <t xml:space="preserve">Dyn@Link</t>
  </si>
  <si>
    <t xml:space="preserve">Junta con oscilación, diagnóstico abordo</t>
  </si>
  <si>
    <t xml:space="preserve">Alta visibilidad, compactación potente y cómoda</t>
  </si>
  <si>
    <t xml:space="preserve">140-180</t>
  </si>
  <si>
    <t xml:space="preserve">CB10</t>
  </si>
  <si>
    <t xml:space="preserve">CAT C4.4</t>
  </si>
  <si>
    <t xml:space="preserve">0,84/0,18</t>
  </si>
  <si>
    <t xml:space="preserve">CMV + PassCount
Utiliza sensores de aceleración en el tambor vibratorio para medir la respuesta del suelo/asfalto a las vibraciones del rodillo. Proporciona una lectura relativa de la calidad de compactación.</t>
  </si>
  <si>
    <t xml:space="preserve">Versa Vibe™, 360° visión, Oscilación</t>
  </si>
  <si>
    <t xml:space="preserve">Sistema VersaVibe™
Tecnología que permite a los compactadores tándem trabajar con cuatro configuraciones distintas de vibración, adaptándose a diferentes condiciones de asfalto y objetivos de compactación.</t>
  </si>
  <si>
    <t xml:space="preserve">160-210</t>
  </si>
  <si>
    <t xml:space="preserve">CC4200</t>
  </si>
  <si>
    <t xml:space="preserve">0,8/0,3</t>
  </si>
  <si>
    <t xml:space="preserve">No</t>
  </si>
  <si>
    <t xml:space="preserve">Oscilación, cabina deslizante</t>
  </si>
  <si>
    <t xml:space="preserve">Alta fuerza centrífuga y amplitud, gran tanque de agua</t>
  </si>
  <si>
    <t xml:space="preserve">150-190</t>
  </si>
  <si>
    <t xml:space="preserve">HD90 VV</t>
  </si>
  <si>
    <t xml:space="preserve">0,66/0,37</t>
  </si>
  <si>
    <t xml:space="preserve">HCM (HAMM Compaction)
Se basa en sensores que evalúan la rigidez del material compactado en tiempo real, usando datos dinámicos del tambor vibratorio. Valores adimensionales</t>
  </si>
  <si>
    <t xml:space="preserve">John Deere Operations Center</t>
  </si>
  <si>
    <t xml:space="preserve">VIO, HAMMTRONIC, Easy Drive</t>
  </si>
  <si>
    <t xml:space="preserve">VIO , tecnología  que permite a un solo tambor trabajar tanto con vibración vertical como con oscilación horizontal, según las condiciones del material o del entorno.</t>
  </si>
  <si>
    <t xml:space="preserve">La articulación ajustable oscila para garantizar un contacto constante entre los tambores y la superficie</t>
  </si>
  <si>
    <t xml:space="preserve">170-220</t>
  </si>
  <si>
    <t xml:space="preserve">Ancho de fresado</t>
  </si>
  <si>
    <t xml:space="preserve">Profundidad máxima</t>
  </si>
  <si>
    <t xml:space="preserve">Potencia del motor</t>
  </si>
  <si>
    <t xml:space="preserve">Diámetro del tambor</t>
  </si>
  <si>
    <t xml:space="preserve">Velocidad de trabajo</t>
  </si>
  <si>
    <t xml:space="preserve">Velocidad de desplazamiento</t>
  </si>
  <si>
    <t xml:space="preserve">Capacidad de transporte</t>
  </si>
  <si>
    <t xml:space="preserve">Ancho de banda transportadora</t>
  </si>
  <si>
    <t xml:space="preserve">Tanque de agua</t>
  </si>
  <si>
    <t xml:space="preserve">Peso operacional</t>
  </si>
  <si>
    <t xml:space="preserve">Radio mínimo de giro</t>
  </si>
  <si>
    <t xml:space="preserve">Sistema de corte</t>
  </si>
  <si>
    <t xml:space="preserve">Eficiencia energética</t>
  </si>
  <si>
    <t xml:space="preserve">Aplicación ideal</t>
  </si>
  <si>
    <t xml:space="preserve">Propuesta de valor</t>
  </si>
  <si>
    <t xml:space="preserve">Capacidad de transporte (m³/h)</t>
  </si>
  <si>
    <t xml:space="preserve">Velocidad de trabajo máx. (m/min)</t>
  </si>
  <si>
    <t xml:space="preserve">Radio de giro (m)</t>
  </si>
  <si>
    <t xml:space="preserve">Tiene BMS15L</t>
  </si>
  <si>
    <t xml:space="preserve">Reducción de desgaste BMS15L (%)</t>
  </si>
  <si>
    <t xml:space="preserve">Desgaste de herramientas (USD/h)</t>
  </si>
  <si>
    <t xml:space="preserve">BM 1000/20</t>
  </si>
  <si>
    <t xml:space="preserve">164 kW – Cummins QSB 6.7</t>
  </si>
  <si>
    <t xml:space="preserve">1.000 mm</t>
  </si>
  <si>
    <t xml:space="preserve">210 mm</t>
  </si>
  <si>
    <t xml:space="preserve">860 mm</t>
  </si>
  <si>
    <t xml:space="preserve">0-40 m/min</t>
  </si>
  <si>
    <t xml:space="preserve">8 km/h</t>
  </si>
  <si>
    <t xml:space="preserve">92 m³/h</t>
  </si>
  <si>
    <t xml:space="preserve">400 mm</t>
  </si>
  <si>
    <t xml:space="preserve">700 L</t>
  </si>
  <si>
    <t xml:space="preserve">11.800-13.600 kg</t>
  </si>
  <si>
    <t xml:space="preserve">0,38 m</t>
  </si>
  <si>
    <t xml:space="preserve">BMS15L con porta-herramientas de cambio rápido (1 tornillo). Menor desgaste y mayor eficiencia energética.</t>
  </si>
  <si>
    <t xml:space="preserve">Diseño optimizado que reduce desgaste hasta 20% y mejora consumo.</t>
  </si>
  <si>
    <t xml:space="preserve">Alta eficiencia potencia-rendimiento. Mayor capacidad de transporte.</t>
  </si>
  <si>
    <t xml:space="preserve">Mejor radio de giro. Ideal para entornos urbanos y espacios reducidos.</t>
  </si>
  <si>
    <t xml:space="preserve">Hasta 20% menor desgaste. Cambio rápido de herramientas. Mejor costo total de propiedad.</t>
  </si>
  <si>
    <t xml:space="preserve">Panel ergonómico. Mejor protección contra polvo y vibración. Ideal para jornadas largas.</t>
  </si>
  <si>
    <t xml:space="preserve">Obras urbanas, mantenimiento vial, trabajos de precisión y alta rotación operativa.</t>
  </si>
  <si>
    <t xml:space="preserve">Especialista en eficiencia, versatilidad y mejor TCO.</t>
  </si>
  <si>
    <t xml:space="preserve">SÍ</t>
  </si>
  <si>
    <t xml:space="preserve">SCM1000C-8</t>
  </si>
  <si>
    <t xml:space="preserve">180 kW – Motor SAN</t>
  </si>
  <si>
    <t xml:space="preserve">280 mm</t>
  </si>
  <si>
    <t xml:space="preserve">930 mm</t>
  </si>
  <si>
    <t xml:space="preserve">35 m/min</t>
  </si>
  <si>
    <t xml:space="preserve">500 mm</t>
  </si>
  <si>
    <t xml:space="preserve">800 L</t>
  </si>
  <si>
    <t xml:space="preserve">15.750 kg (más pesa)</t>
  </si>
  <si>
    <t xml:space="preserve">1,2 m</t>
  </si>
  <si>
    <t xml:space="preserve">Tambor de mayor diámetro orientado a trabajos profundos.</t>
  </si>
  <si>
    <t xml:space="preserve">Mayor potencia implica mayor demanda energética.</t>
  </si>
  <si>
    <t xml:space="preserve">Mayor potencia y profundidad para fresado estructural pesado.</t>
  </si>
  <si>
    <t xml:space="preserve">Mayor estabilidad, menor agilidad.</t>
  </si>
  <si>
    <t xml:space="preserve">Potencia elevada puede aumentar consumo y desgaste.</t>
  </si>
  <si>
    <t xml:space="preserve">Cabina amplia y robusta.</t>
  </si>
  <si>
    <t xml:space="preserve">Proyectos estructurales, grandes profundidades y alta carga productiva.</t>
  </si>
  <si>
    <t xml:space="preserve">Especialista en potencia y fresado profundo.</t>
  </si>
  <si>
    <t xml:space="preserve">NO</t>
  </si>
  <si>
    <t xml:space="preserve">XM1005H</t>
  </si>
  <si>
    <t xml:space="preserve">164 kW – Cummins QSB6.7</t>
  </si>
  <si>
    <t xml:space="preserve">220 mm</t>
  </si>
  <si>
    <t xml:space="preserve">50 m/min</t>
  </si>
  <si>
    <t xml:space="preserve">8,5 km/h</t>
  </si>
  <si>
    <t xml:space="preserve">84 m³/h</t>
  </si>
  <si>
    <t xml:space="preserve">850 L</t>
  </si>
  <si>
    <t xml:space="preserve">13.900-14.100 kg</t>
  </si>
  <si>
    <t xml:space="preserve">No declarado</t>
  </si>
  <si>
    <t xml:space="preserve">Configuración estándar con motor Cummins confiable.</t>
  </si>
  <si>
    <t xml:space="preserve">Consumo competitivo dentro del segmento.</t>
  </si>
  <si>
    <t xml:space="preserve">Buen desempeño general con alta velocidad operativa.</t>
  </si>
  <si>
    <t xml:space="preserve">Maniobrabilidad intermedia.</t>
  </si>
  <si>
    <t xml:space="preserve">Motor Cummins facilita soporte y repuestos.</t>
  </si>
  <si>
    <t xml:space="preserve">Diseño funcional estándar.</t>
  </si>
  <si>
    <t xml:space="preserve">Empresas que buscan equilibrio costo-beneficio.</t>
  </si>
  <si>
    <t xml:space="preserve">Alternativa competitiva balanceada en precio y rendimiento.</t>
  </si>
  <si>
    <t xml:space="preserve">Fabricante del motor</t>
  </si>
  <si>
    <t xml:space="preserve">Potencia nominal</t>
  </si>
  <si>
    <t xml:space="preserve">Norma de emisiones</t>
  </si>
  <si>
    <t xml:space="preserve">Modo de ahorro de combustible</t>
  </si>
  <si>
    <t xml:space="preserve">Tanque de combustible</t>
  </si>
  <si>
    <t xml:space="preserve">Producción máxima</t>
  </si>
  <si>
    <t xml:space="preserve">Velocidad de pavimentación</t>
  </si>
  <si>
    <t xml:space="preserve">Espesor máx. de capa</t>
  </si>
  <si>
    <t xml:space="preserve">Ancho mín. de trabajo</t>
  </si>
  <si>
    <t xml:space="preserve">Ancho base retraído</t>
  </si>
  <si>
    <t xml:space="preserve">Ancho base extendido</t>
  </si>
  <si>
    <t xml:space="preserve">Ancho máx. con extensiones</t>
  </si>
  <si>
    <t xml:space="preserve">Capacidad de tolva</t>
  </si>
  <si>
    <t xml:space="preserve">Diámetro del sinfín</t>
  </si>
  <si>
    <t xml:space="preserve">Transportadores</t>
  </si>
  <si>
    <t xml:space="preserve">Rodillos de empuje</t>
  </si>
  <si>
    <t xml:space="preserve">Tipos de plancha</t>
  </si>
  <si>
    <t xml:space="preserve">Calentamiento de plancha</t>
  </si>
  <si>
    <t xml:space="preserve">Frecuencia tamper / vibración</t>
  </si>
  <si>
    <t xml:space="preserve">Sistema de extensión rápida</t>
  </si>
  <si>
    <t xml:space="preserve">Profundidad placa alisadora</t>
  </si>
  <si>
    <t xml:space="preserve">Longitud de transporte</t>
  </si>
  <si>
    <t xml:space="preserve">Ancho de transporte</t>
  </si>
  <si>
    <t xml:space="preserve">Altura de transporte</t>
  </si>
  <si>
    <t xml:space="preserve">Sistema de operación</t>
  </si>
  <si>
    <t xml:space="preserve">Control de nivelación</t>
  </si>
  <si>
    <t xml:space="preserve">Telemática</t>
  </si>
  <si>
    <t xml:space="preserve">Extracción de humos de asfalto</t>
  </si>
  <si>
    <t xml:space="preserve">Lubricación centralizada</t>
  </si>
  <si>
    <t xml:space="preserve">USP 7</t>
  </si>
  <si>
    <t xml:space="preserve">USP 8</t>
  </si>
  <si>
    <t xml:space="preserve">USP 9</t>
  </si>
  <si>
    <t xml:space="preserve">Consumo medio de combustible</t>
  </si>
  <si>
    <t xml:space="preserve">Fuente del dato de consumo</t>
  </si>
  <si>
    <t xml:space="preserve">Consumo por turno 10 h (L)</t>
  </si>
  <si>
    <t xml:space="preserve">CO₂ por turno 10 h</t>
  </si>
  <si>
    <t xml:space="preserve">Ahorro de combustible por día</t>
  </si>
  <si>
    <t xml:space="preserve">Ahorro de CO₂ por día</t>
  </si>
  <si>
    <t xml:space="preserve">Tipo de calentamiento</t>
  </si>
  <si>
    <t xml:space="preserve">Tiempo de calentamiento</t>
  </si>
  <si>
    <t xml:space="preserve">Vida elementos calefactores</t>
  </si>
  <si>
    <t xml:space="preserve">Vida placas de desgaste</t>
  </si>
  <si>
    <t xml:space="preserve">Ciclo de reemplazo</t>
  </si>
  <si>
    <t xml:space="preserve">Costo reemplazo año 1</t>
  </si>
  <si>
    <t xml:space="preserve">Costo reemplazo año 2</t>
  </si>
  <si>
    <t xml:space="preserve">Costo reemplazo año 3</t>
  </si>
  <si>
    <t xml:space="preserve">Total reemplazos 3 años</t>
  </si>
  <si>
    <t xml:space="preserve">Ahorro vs BOMAG 3 años</t>
  </si>
  <si>
    <t xml:space="preserve">CO₂ calentamiento inicial</t>
  </si>
  <si>
    <t xml:space="preserve">AP655</t>
  </si>
  <si>
    <t xml:space="preserve">Cat C4.4 (4 cil.) / opt C7.1 (6 cil.)</t>
  </si>
  <si>
    <t xml:space="preserve">129 kW / 173 hp</t>
  </si>
  <si>
    <t xml:space="preserve">EPA Tier 4 Final / EU Stage V</t>
  </si>
  <si>
    <t xml:space="preserve">Eco-mode + control auto rpm</t>
  </si>
  <si>
    <t xml:space="preserve">278 L</t>
  </si>
  <si>
    <t xml:space="preserve">1.300 t/h</t>
  </si>
  <si>
    <t xml:space="preserve">Hasta 25 m/min</t>
  </si>
  <si>
    <t xml:space="preserve">14,5 km/h</t>
  </si>
  <si>
    <t xml:space="preserve">305 mm</t>
  </si>
  <si>
    <t xml:space="preserve">2,44 m (SE47)</t>
  </si>
  <si>
    <t xml:space="preserve">2,55 m (SE50) / 3,0 m (SE60)</t>
  </si>
  <si>
    <t xml:space="preserve">5,0 m (SE50) / 6,0 m (SE60)</t>
  </si>
  <si>
    <t xml:space="preserve">8,0 m (SE50VT)
10,0 m (SE60VT XW)</t>
  </si>
  <si>
    <t xml:space="preserve">11–12 t</t>
  </si>
  <si>
    <t xml:space="preserve">406 mm (16")</t>
  </si>
  <si>
    <t xml:space="preserve">2 cintas - sistema 4 bombas</t>
  </si>
  <si>
    <t xml:space="preserve">Ajustables (estándar)</t>
  </si>
  <si>
    <t xml:space="preserve">SE47FM / SE50 V,VT
SE60 FM,V,VT,VT XW</t>
  </si>
  <si>
    <t xml:space="preserve">Eléctrica - generador 70 kW
~15 min calentamiento</t>
  </si>
  <si>
    <t xml:space="preserve">Variable (ajuste táctil)</t>
  </si>
  <si>
    <t xml:space="preserve">Manual / hidráulica (opcional)</t>
  </si>
  <si>
    <t xml:space="preserve">No especificado</t>
  </si>
  <si>
    <t xml:space="preserve">19.530 kg (c/SE50VT)
21.052 kg (c/SE60VT XW)</t>
  </si>
  <si>
    <t xml:space="preserve">6.666 mm (c/SE50VT)</t>
  </si>
  <si>
    <t xml:space="preserve">2.550–2.762 mm</t>
  </si>
  <si>
    <t xml:space="preserve">3.056 mm</t>
  </si>
  <si>
    <t xml:space="preserve">Pantallas táctiles dobles
Pave Start Assistant</t>
  </si>
  <si>
    <t xml:space="preserve">Cat Grade Control (OPCIONAL)</t>
  </si>
  <si>
    <t xml:space="preserve">Product Link Elite
(satélite / celular)</t>
  </si>
  <si>
    <t xml:space="preserve">Sistema ventilación (desviación)</t>
  </si>
  <si>
    <t xml:space="preserve">Acceso remoto puntos clave</t>
  </si>
  <si>
    <t xml:space="preserve">Eléctrico estándar - ~15 min - Vida 1.000–1.500 h - Recambio anual ~8.000 €</t>
  </si>
  <si>
    <t xml:space="preserve">No publicado en ficha técnica</t>
  </si>
  <si>
    <t xml:space="preserve">Eco-mode: reducción rpm motor</t>
  </si>
  <si>
    <t xml:space="preserve">Manual / hidráulico convencional</t>
  </si>
  <si>
    <t xml:space="preserve">Doble estación giratoria (backup)</t>
  </si>
  <si>
    <t xml:space="preserve">Cat Grade Control = OPCIONAL (costo adicional)</t>
  </si>
  <si>
    <t xml:space="preserve">~24.000 € total en 3 años
(recambio anual ~8.000 €)</t>
  </si>
  <si>
    <t xml:space="preserve">~366 kg CO₂ estimado (+55% vs BOMAG)</t>
  </si>
  <si>
    <t xml:space="preserve">No publicado</t>
  </si>
  <si>
    <t xml:space="preserve">—</t>
  </si>
  <si>
    <t xml:space="preserve">N/D</t>
  </si>
  <si>
    <t xml:space="preserve">~366 kg (+55% vs BOMAG)</t>
  </si>
  <si>
    <t xml:space="preserve">Eléctrico estándar</t>
  </si>
  <si>
    <t xml:space="preserve">~60 min</t>
  </si>
  <si>
    <t xml:space="preserve">1.000 – 1.500 h</t>
  </si>
  <si>
    <t xml:space="preserve">1.000 – 2.000 h</t>
  </si>
  <si>
    <t xml:space="preserve">Anual</t>
  </si>
  <si>
    <t xml:space="preserve">~8.000 €</t>
  </si>
  <si>
    <t xml:space="preserve">~24.000 €</t>
  </si>
  <si>
    <t xml:space="preserve">16.000 €</t>
  </si>
  <si>
    <t xml:space="preserve">27 kg (10,5 L)</t>
  </si>
  <si>
    <t xml:space="preserve">BF600 C-3</t>
  </si>
  <si>
    <t xml:space="preserve">Deutz TCD 2012 L06 (6 cil.)</t>
  </si>
  <si>
    <t xml:space="preserve">116 kW / 156 hp</t>
  </si>
  <si>
    <t xml:space="preserve">Stage IIIa / Tier 3</t>
  </si>
  <si>
    <t xml:space="preserve">ECOMODE</t>
  </si>
  <si>
    <t xml:space="preserve">285 L</t>
  </si>
  <si>
    <t xml:space="preserve">600 t/h</t>
  </si>
  <si>
    <t xml:space="preserve">4 km/h</t>
  </si>
  <si>
    <t xml:space="preserve">300 mm</t>
  </si>
  <si>
    <t xml:space="preserve">1,65 m (con reducciones) (S500)</t>
  </si>
  <si>
    <t xml:space="preserve">2,5 m (S500) / 3,0 m (S600)</t>
  </si>
  <si>
    <t xml:space="preserve">5,0 m (S500) / 6,0 m (S600)</t>
  </si>
  <si>
    <t xml:space="preserve">8,0 m (S500) / 9,0 m (S600)
[Quick Coupling]</t>
  </si>
  <si>
    <t xml:space="preserve">11 t</t>
  </si>
  <si>
    <t xml:space="preserve">350 mm - 100 rpm</t>
  </si>
  <si>
    <t xml:space="preserve">2 - reversibles, ctrl indep.
64 rpm</t>
  </si>
  <si>
    <t xml:space="preserve">Amortiguados + apoyo hidráulico</t>
  </si>
  <si>
    <t xml:space="preserve">S500 / S600
(tamper + vibración)</t>
  </si>
  <si>
    <t xml:space="preserve">MAGMALIFE - bloques aluminio
50% más rápido · 3.000–5.000 h vida</t>
  </si>
  <si>
    <t xml:space="preserve">Tamper 0–29 Hz / Vibr. 20–58 Hz</t>
  </si>
  <si>
    <t xml:space="preserve">QUICK COUPLING - sin tornillos
(EXCLUSIVO BOMAG)</t>
  </si>
  <si>
    <t xml:space="preserve">400 mm - Espesor 15 mm</t>
  </si>
  <si>
    <t xml:space="preserve">21.000 kg (c/S500)
21.500 kg (c/S600)</t>
  </si>
  <si>
    <t xml:space="preserve">6.360 mm</t>
  </si>
  <si>
    <t xml:space="preserve">2.550 mm (S500) / 3.000 mm (S600)</t>
  </si>
  <si>
    <t xml:space="preserve">3.061 mm</t>
  </si>
  <si>
    <t xml:space="preserve">A-PAVE pantalla gráfica
Asiento SIDEVIEW giratorio/deslizable</t>
  </si>
  <si>
    <t xml:space="preserve">Controlador integrado + sensor
pendiente (ESTÁNDAR LATERAL)</t>
  </si>
  <si>
    <t xml:space="preserve">BOMAG TELEMATIC
+ JOBLINK data interface</t>
  </si>
  <si>
    <t xml:space="preserve">Aspiración vapores - estándar</t>
  </si>
  <si>
    <t xml:space="preserve">Equipo lubric. central estándar</t>
  </si>
  <si>
    <t xml:space="preserve">50% más rápido - 50% menos combustible en setup - Vida 3.000–5.000 h - Ahorro ~16.000 € en 3 años</t>
  </si>
  <si>
    <t xml:space="preserve">8,9 l/h promedio medido
235 kg CO₂ / jornada 10h</t>
  </si>
  <si>
    <t xml:space="preserve">Regulación activa bombas hidráulicas según demanda real - Ahorro hasta 17%</t>
  </si>
  <si>
    <t xml:space="preserve">Sin tornillos - sin herramientas - mín. tiempo de acople - EXCLUSIVO BOMAG</t>
  </si>
  <si>
    <t xml:space="preserve">Asiento + consola deslizables al lateral - visión directa regla y borde - ESTÁNDAR</t>
  </si>
  <si>
    <t xml:space="preserve">Controlador integrado + sensor pendiente ESTÁNDAR (lateral)</t>
  </si>
  <si>
    <t xml:space="preserve">~8.000 € total en 3 años
(recambio cada 2–3 años)</t>
  </si>
  <si>
    <t xml:space="preserve">235 kg CO₂ (90,5 L diesel)</t>
  </si>
  <si>
    <t xml:space="preserve">8,9 l/h ✓ MEDIDO EN CAMPO</t>
  </si>
  <si>
    <t xml:space="preserve">Medición campo 03/2019–04/2021</t>
  </si>
  <si>
    <t xml:space="preserve">89</t>
  </si>
  <si>
    <t xml:space="preserve">235 kg (90,5 L × 2,6)</t>
  </si>
  <si>
    <t xml:space="preserve">51 L menos que competidor
16 L menos que Dynapac</t>
  </si>
  <si>
    <t xml:space="preserve">131 kg menos que competidor
38 kg menos que Dynapac</t>
  </si>
  <si>
    <t xml:space="preserve">MAGMALIFE — bloques aluminio fundido</t>
  </si>
  <si>
    <t xml:space="preserve">~30 min (50% más rápido)</t>
  </si>
  <si>
    <t xml:space="preserve">3.000 – 5.000 h</t>
  </si>
  <si>
    <t xml:space="preserve">2.000 – 3.000 h</t>
  </si>
  <si>
    <t xml:space="preserve">Cada 2–3 años</t>
  </si>
  <si>
    <t xml:space="preserve">/</t>
  </si>
  <si>
    <t xml:space="preserve">~8.000 € ✓</t>
  </si>
  <si>
    <t xml:space="preserve">9 kg (3,5 L) ✓</t>
  </si>
  <si>
    <t xml:space="preserve">VÖGELE</t>
  </si>
  <si>
    <t xml:space="preserve">Super 1800-3</t>
  </si>
  <si>
    <t xml:space="preserve">Cummins QSB6.7-C170 (6 cil.)</t>
  </si>
  <si>
    <t xml:space="preserve">127 kW / 170 hp</t>
  </si>
  <si>
    <t xml:space="preserve">EU Fase 3a / EPA Tier 3</t>
  </si>
  <si>
    <t xml:space="preserve">EcoPlus</t>
  </si>
  <si>
    <t xml:space="preserve">300 L</t>
  </si>
  <si>
    <t xml:space="preserve">700 t/h</t>
  </si>
  <si>
    <t xml:space="preserve">Hasta 24 m/min</t>
  </si>
  <si>
    <t xml:space="preserve">4,5 km/h</t>
  </si>
  <si>
    <t xml:space="preserve">2,55 m (AB500)</t>
  </si>
  <si>
    <t xml:space="preserve">2,55 m (AB500) / 3,0 m (AB600/SB300)</t>
  </si>
  <si>
    <t xml:space="preserve">5,0 m (AB500) / 6,0 m (AB600)</t>
  </si>
  <si>
    <t xml:space="preserve">8,5 m (AB500) / 9,0 m (AB600)
10,0 m (SB300)</t>
  </si>
  <si>
    <t xml:space="preserve">13 t</t>
  </si>
  <si>
    <t xml:space="preserve">400 mm - hasta 84 rpm</t>
  </si>
  <si>
    <t xml:space="preserve">2 - hasta 33 m/min variable
reversibles</t>
  </si>
  <si>
    <t xml:space="preserve">Oscilantes estándar
PaveDock elástico (opcional)</t>
  </si>
  <si>
    <t xml:space="preserve">AB500/AB600 TV,TP1,TP2,TP2+
SB300 TV,TP1,TP2</t>
  </si>
  <si>
    <t xml:space="preserve">Eléctrica - generador directo
refrigerado por aceite</t>
  </si>
  <si>
    <t xml:space="preserve">Variable (SmartWheel)</t>
  </si>
  <si>
    <t xml:space="preserve">Mecánica + tramos hidr. (SB300)</t>
  </si>
  <si>
    <t xml:space="preserve">19.400 kg (AB500 hasta 5m)
25.150 kg (AB500 hasta 8,5m)</t>
  </si>
  <si>
    <t xml:space="preserve">6.040 mm (AB500 TV)</t>
  </si>
  <si>
    <t xml:space="preserve">2.550 mm</t>
  </si>
  <si>
    <t xml:space="preserve">3.100 mm</t>
  </si>
  <si>
    <t xml:space="preserve">ErgoPlus 3 - gran pantalla color
AutoSet Plus</t>
  </si>
  <si>
    <t xml:space="preserve">Niveltronic Plus (integrado std.)</t>
  </si>
  <si>
    <t xml:space="preserve">PaveDock Assistant
(comunicación camiones)</t>
  </si>
  <si>
    <t xml:space="preserve">Lubricación central automática</t>
  </si>
  <si>
    <t xml:space="preserve">Eléctrico generador directo - Recambio anual ~8.000 €</t>
  </si>
  <si>
    <t xml:space="preserve">EcoPlus: 4 mecanismos - hasta 25% ahorro</t>
  </si>
  <si>
    <t xml:space="preserve">Mecánicas estándar + tramos hidr. (SB300)</t>
  </si>
  <si>
    <t xml:space="preserve">Plataforma deslizable con consola</t>
  </si>
  <si>
    <t xml:space="preserve">Oscilantes std - PaveDock elástico (opcional)</t>
  </si>
  <si>
    <t xml:space="preserve">Niveltronic Plus — integrado estándar</t>
  </si>
  <si>
    <t xml:space="preserve">Eléctrico generador directo</t>
  </si>
  <si>
    <t xml:space="preserve">SD2500CS</t>
  </si>
  <si>
    <t xml:space="preserve">Cummins QSB 6.7-C200 (6 cil.)</t>
  </si>
  <si>
    <t xml:space="preserve">149 kW / 200 hp</t>
  </si>
  <si>
    <t xml:space="preserve">EU Stage V / EPA Tier 4f</t>
  </si>
  <si>
    <t xml:space="preserve">VarioSpeed</t>
  </si>
  <si>
    <t xml:space="preserve">362 L</t>
  </si>
  <si>
    <t xml:space="preserve">800 t/h</t>
  </si>
  <si>
    <t xml:space="preserve">Hasta 28 m/min</t>
  </si>
  <si>
    <t xml:space="preserve">310 mm</t>
  </si>
  <si>
    <t xml:space="preserve">2,05 m (con zapatas)</t>
  </si>
  <si>
    <t xml:space="preserve">2,55 m (V5100) / 3,0 m (V6000/R300)</t>
  </si>
  <si>
    <t xml:space="preserve">5,1 m (V5100) / 6,0 m (V6000)</t>
  </si>
  <si>
    <t xml:space="preserve">8,8 m (V5100) / 9,7 m (V6000)
10,0 m (R300)</t>
  </si>
  <si>
    <t xml:space="preserve">12–15 t</t>
  </si>
  <si>
    <t xml:space="preserve">380 mm</t>
  </si>
  <si>
    <t xml:space="preserve">2 dual - 2×655 mm
control proporcional</t>
  </si>
  <si>
    <t xml:space="preserve">Fijo pivotable (std.)
Hidráulico amortiguado (opc.)</t>
  </si>
  <si>
    <t xml:space="preserve">V5100/V6000 TV,TVE,THE
R300 TV,TVE / R300 HEE</t>
  </si>
  <si>
    <t xml:space="preserve">Eléctrica o Gas (opción única)
Generador 33 kVA</t>
  </si>
  <si>
    <t xml:space="preserve">Variable - high compaction
THE screed disponible</t>
  </si>
  <si>
    <t xml:space="preserve">Modular V/R-Series</t>
  </si>
  <si>
    <t xml:space="preserve">19.000 kg (c/regla std.)</t>
  </si>
  <si>
    <t xml:space="preserve">6.150 mm</t>
  </si>
  <si>
    <t xml:space="preserve">PaveManager 2.0 - digital
SetAssist / TruckAssist</t>
  </si>
  <si>
    <t xml:space="preserve">MOBA integrado (estándar)
3D nivelación (opcional)</t>
  </si>
  <si>
    <t xml:space="preserve">Dyn@Link + MatManager
+ MatWiser (web reporting)</t>
  </si>
  <si>
    <t xml:space="preserve">Certificado NIOSH 94% efectividad</t>
  </si>
  <si>
    <t xml:space="preserve">Sistema lubric. inteligente</t>
  </si>
  <si>
    <t xml:space="preserve">Eléctrico o Gas (sin motor) - Recambio anual ~8.000 €</t>
  </si>
  <si>
    <t xml:space="preserve">10,5 l/h publicado en ficha
~273 kg CO₂ / jornada estimado</t>
  </si>
  <si>
    <t xml:space="preserve">VarioSpeed: rpm adaptativo automático</t>
  </si>
  <si>
    <t xml:space="preserve">Sistema modular V-Series / R-Series</t>
  </si>
  <si>
    <t xml:space="preserve">Cabina deslizable 'Weather House'</t>
  </si>
  <si>
    <t xml:space="preserve">Fijo pivotable std - hidráulico amort. (opcional)</t>
  </si>
  <si>
    <t xml:space="preserve">MOBA integrado estándar + 3D (opcional)</t>
  </si>
  <si>
    <t xml:space="preserve">~273 kg CO₂ estimado (10,5 l/h × 26 kg)</t>
  </si>
  <si>
    <t xml:space="preserve">10,5 l/h (en ficha oficial)</t>
  </si>
  <si>
    <t xml:space="preserve">Ficha técnica oficial</t>
  </si>
  <si>
    <t xml:space="preserve">105</t>
  </si>
  <si>
    <t xml:space="preserve">~273 kg estimado</t>
  </si>
  <si>
    <t xml:space="preserve">Eléctrico o Gas (opción)</t>
  </si>
  <si>
    <t xml:space="preserve">~30–60 min (gas: sin motor)</t>
  </si>
  <si>
    <t xml:space="preserve">27 kg (10,5 L) — eléctr.</t>
  </si>
  <si>
    <t xml:space="preserve">Análisis financiero — Compactación (SDR / LTR / HTR)</t>
  </si>
  <si>
    <t xml:space="preserve">Precio, consumo y mantenimiento vienen de las hojas de datos (verde). Las columnas azules son supuestos por máquina; las negras son fórmulas.</t>
  </si>
  <si>
    <t xml:space="preserve">Línea</t>
  </si>
  <si>
    <t xml:space="preserve">Precio (USD)</t>
  </si>
  <si>
    <t xml:space="preserve">Consumo (L/h)</t>
  </si>
  <si>
    <t xml:space="preserve">Valor de reventa (USD)</t>
  </si>
  <si>
    <t xml:space="preserve">Junta libre de mant.?</t>
  </si>
  <si>
    <t xml:space="preserve">Tec. BOMAG activa?</t>
  </si>
  <si>
    <t xml:space="preserve">Rend. base Roca (m³/h)</t>
  </si>
  <si>
    <t xml:space="preserve">Rend. base Grava (m³/h)</t>
  </si>
  <si>
    <t xml:space="preserve">Rend. base Suelo mixto (m³/h)</t>
  </si>
  <si>
    <t xml:space="preserve">Rend. base Arcilla (m³/h)</t>
  </si>
  <si>
    <t xml:space="preserve">Rend. base suelo sel. (m³/h)</t>
  </si>
  <si>
    <t xml:space="preserve">Rend. efectivo (m³/h)</t>
  </si>
  <si>
    <t xml:space="preserve">Rend. ajustado por eficiencia (m³/h)</t>
  </si>
  <si>
    <t xml:space="preserve">Horas para el volumen (h)</t>
  </si>
  <si>
    <t xml:space="preserve">Costo operación (USD/h)</t>
  </si>
  <si>
    <t xml:space="preserve">Costo del trabajo (USD)</t>
  </si>
  <si>
    <t xml:space="preserve">Costo combustible (USD)</t>
  </si>
  <si>
    <t xml:space="preserve">Costo mantenimiento (USD)</t>
  </si>
  <si>
    <t xml:space="preserve">Intervenciones de engrase</t>
  </si>
  <si>
    <t xml:space="preserve">Costo junta articulada (USD)</t>
  </si>
  <si>
    <t xml:space="preserve">TCO (USD)</t>
  </si>
  <si>
    <t xml:space="preserve">Costo variable (USD/h)</t>
  </si>
  <si>
    <t xml:space="preserve">TCO por hora (USD/h)</t>
  </si>
  <si>
    <t xml:space="preserve">TCO (moneda sel.)</t>
  </si>
  <si>
    <t xml:space="preserve">Δ TCO vs BOMAG de la línea (USD)</t>
  </si>
  <si>
    <t xml:space="preserve">SDR</t>
  </si>
  <si>
    <t xml:space="preserve">N/A</t>
  </si>
  <si>
    <t xml:space="preserve">LTR</t>
  </si>
  <si>
    <t xml:space="preserve">HTR</t>
  </si>
  <si>
    <t xml:space="preserve">Análisis financiero — Fresadoras en frío</t>
  </si>
  <si>
    <t xml:space="preserve">Mant. preventivo base (USD/h)</t>
  </si>
  <si>
    <t xml:space="preserve">Mant. correctivo base (USD/h)</t>
  </si>
  <si>
    <t xml:space="preserve">Tiene BMS15L?</t>
  </si>
  <si>
    <t xml:space="preserve">BMS15L activado?</t>
  </si>
  <si>
    <t xml:space="preserve">Reducción de desgaste (%)</t>
  </si>
  <si>
    <t xml:space="preserve">Multiplicador de desgaste</t>
  </si>
  <si>
    <t xml:space="preserve">Mant. preventivo efectivo (USD/h)</t>
  </si>
  <si>
    <t xml:space="preserve">Mant. correctivo efectivo (USD/h)</t>
  </si>
  <si>
    <t xml:space="preserve">Desgaste herramientas base (USD/h)</t>
  </si>
  <si>
    <t xml:space="preserve">Desgaste herramientas efectivo (USD/h)</t>
  </si>
  <si>
    <t xml:space="preserve">Velocidad de trabajo (m/min)</t>
  </si>
  <si>
    <t xml:space="preserve">Costo desgaste herramientas (USD)</t>
  </si>
  <si>
    <t xml:space="preserve">Δ TCO vs BOMAG (USD)</t>
  </si>
  <si>
    <t xml:space="preserve">Análisis financiero — Pavimentadoras</t>
  </si>
  <si>
    <t xml:space="preserve">Consumo base y mantenimiento son los valores que la app deriva del bloque financiero (ver notas en cada encabezado). Precio en 0 en la app: ingréselo.</t>
  </si>
  <si>
    <t xml:space="preserve">Consumo base (L/h)</t>
  </si>
  <si>
    <t xml:space="preserve">Modo de ahorro</t>
  </si>
  <si>
    <t xml:space="preserve">Tiene ECOMODE?</t>
  </si>
  <si>
    <t xml:space="preserve">Modo de ahorro activado?</t>
  </si>
  <si>
    <t xml:space="preserve">Factor de consumo</t>
  </si>
  <si>
    <t xml:space="preserve">Consumo efectivo (L/h)</t>
  </si>
  <si>
    <t xml:space="preserve">Tiene MAGMALIFE?</t>
  </si>
  <si>
    <t xml:space="preserve">MAGMALIFE activado?</t>
  </si>
  <si>
    <t xml:space="preserve">Combustible calentamiento ficha (L/turno)</t>
  </si>
  <si>
    <t xml:space="preserve">Combustible calentamiento efectivo (L/turno)</t>
  </si>
  <si>
    <t xml:space="preserve">Tiempo calentamiento ficha (min)</t>
  </si>
  <si>
    <t xml:space="preserve">Tiempo calentamiento efectivo (min)</t>
  </si>
  <si>
    <t xml:space="preserve">Reemplazos plancha 3 años (EUR)</t>
  </si>
  <si>
    <t xml:space="preserve">Desgaste plancha propio (USD/h)</t>
  </si>
  <si>
    <t xml:space="preserve">Desgaste plancha competidor (USD/h)</t>
  </si>
  <si>
    <t xml:space="preserve">Desgaste plancha efectivo (USD/h)</t>
  </si>
  <si>
    <t xml:space="preserve">Costo combustible calentamiento (USD)</t>
  </si>
  <si>
    <t xml:space="preserve">Costo desgaste plancha (USD)</t>
  </si>
  <si>
    <t xml:space="preserve">Ahorro BOMAG en el período (USD)</t>
  </si>
  <si>
    <t xml:space="preserve">Análisis de costo — Junta articulada libre de mantenimiento</t>
  </si>
  <si>
    <t xml:space="preserve">Tiempo de operación a analizar (h)</t>
  </si>
  <si>
    <t xml:space="preserve">Tarifa técnico (USD/h)</t>
  </si>
  <si>
    <t xml:space="preserve">Costo máquina parada (USD/h)</t>
  </si>
  <si>
    <t xml:space="preserve">Costo grasa por intervención (USD)</t>
  </si>
  <si>
    <t xml:space="preserve">Concepto</t>
  </si>
  <si>
    <t xml:space="preserve">Competidor</t>
  </si>
  <si>
    <t xml:space="preserve">Ahorro</t>
  </si>
  <si>
    <t xml:space="preserve">Junta libre de mantenimiento?</t>
  </si>
  <si>
    <t xml:space="preserve">Horas improductivas (h)</t>
  </si>
  <si>
    <t xml:space="preserve">Mano de obra (USD)</t>
  </si>
  <si>
    <t xml:space="preserve">Insumos / grasa (USD)</t>
  </si>
  <si>
    <t xml:space="preserve">Productividad perdida (USD)</t>
  </si>
  <si>
    <t xml:space="preserve">Total junta (USD)</t>
  </si>
  <si>
    <t xml:space="preserve">TCO progresivo por horas de operación (USD)</t>
  </si>
  <si>
    <t xml:space="preserve">TCO(h) = Precio (o TCO inicial editado) + h × Costo variable − Valor de reventa. Horas editables en la fila de encabezado (azul).</t>
  </si>
  <si>
    <t xml:space="preserve">TCO inicial (USD)</t>
  </si>
  <si>
    <t xml:space="preserve">Fresadora</t>
  </si>
  <si>
    <t xml:space="preserve">Pavimentadora</t>
  </si>
  <si>
    <t xml:space="preserve">Comparador — Compactación (elija hasta 4 máquinas)</t>
  </si>
  <si>
    <t xml:space="preserve">Seleccione el ID en las celdas amarillas. Todos los valores se traen de la hoja Análisis Compactación.</t>
  </si>
  <si>
    <t xml:space="preserve">Máquina</t>
  </si>
  <si>
    <t xml:space="preserve">SDR | BOMAG | BW211 D-5 SL (mat. 93500000)</t>
  </si>
  <si>
    <t xml:space="preserve">SDR | DYNAPAC | CA25 D-Rhino</t>
  </si>
  <si>
    <t xml:space="preserve">SDR | DYNAPAC | CA35 D-Rhino</t>
  </si>
  <si>
    <t xml:space="preserve">SDR | DYNAPAC | CA3500D</t>
  </si>
  <si>
    <t xml:space="preserve">Ahorro vs máquina 1 (USD)</t>
  </si>
  <si>
    <t xml:space="preserve">Positivo = la máquina 1 (normalmente BOMAG) es más económica.</t>
  </si>
  <si>
    <t xml:space="preserve">Tablas de rendimiento de compactación</t>
  </si>
  <si>
    <t xml:space="preserve">Rendimiento corregido (m³/h) — base de la interpolación por peso</t>
  </si>
  <si>
    <t xml:space="preserve">Peso mín. (t)</t>
  </si>
  <si>
    <t xml:space="preserve">Peso máx. (t)</t>
  </si>
  <si>
    <t xml:space="preserve">Roca mín.</t>
  </si>
  <si>
    <t xml:space="preserve">Roca máx.</t>
  </si>
  <si>
    <t xml:space="preserve">Grava mín.</t>
  </si>
  <si>
    <t xml:space="preserve">Grava máx.</t>
  </si>
  <si>
    <t xml:space="preserve">Suelo mixto mín.</t>
  </si>
  <si>
    <t xml:space="preserve">Suelo mixto máx.</t>
  </si>
  <si>
    <t xml:space="preserve">Arcilla mín.</t>
  </si>
  <si>
    <t xml:space="preserve">Arcilla máx.</t>
  </si>
  <si>
    <t xml:space="preserve">Roca prom.</t>
  </si>
  <si>
    <t xml:space="preserve">Grava prom.</t>
  </si>
  <si>
    <t xml:space="preserve">Suelo mixto prom.</t>
  </si>
  <si>
    <t xml:space="preserve">Arcilla prom.</t>
  </si>
  <si>
    <t xml:space="preserve">Nota: dentro de un rango la app interpola linealmente: mín + (máx − mín) × (peso − peso mín.)/(peso máx. − peso mín.). Fuera de rango aplica escalado (peso/punto medio)^0,8 o extrapolación por tipo de suelo.</t>
  </si>
  <si>
    <t xml:space="preserve">Altura de capa compactada (m)</t>
  </si>
  <si>
    <t xml:space="preserve">Peso operativo (t)</t>
  </si>
  <si>
    <t xml:space="preserve">Roca</t>
  </si>
  <si>
    <t xml:space="preserve">Grava</t>
  </si>
  <si>
    <t xml:space="preserve">Arcilla</t>
  </si>
  <si>
    <t xml:space="preserve">2 – 3</t>
  </si>
  <si>
    <t xml:space="preserve">0.20 – 0.35</t>
  </si>
  <si>
    <t xml:space="preserve">0.20 – 0.30</t>
  </si>
  <si>
    <t xml:space="preserve">0.15 – 0.20</t>
  </si>
  <si>
    <t xml:space="preserve">6 – 8</t>
  </si>
  <si>
    <t xml:space="preserve">0.30 – 0.50</t>
  </si>
  <si>
    <t xml:space="preserve">0.30 – 0.40</t>
  </si>
  <si>
    <t xml:space="preserve">0.25 – 0.35</t>
  </si>
  <si>
    <t xml:space="preserve">9 – 12</t>
  </si>
  <si>
    <t xml:space="preserve">0.50 – 0.80</t>
  </si>
  <si>
    <t xml:space="preserve">0.40 – 0.60</t>
  </si>
  <si>
    <t xml:space="preserve">13 – 16</t>
  </si>
  <si>
    <t xml:space="preserve">0.80 – 1.20</t>
  </si>
  <si>
    <t xml:space="preserve">19 – 25</t>
  </si>
  <si>
    <t xml:space="preserve">1.00 – 2.00</t>
  </si>
  <si>
    <t xml:space="preserve">0.80 – 1.50</t>
  </si>
  <si>
    <t xml:space="preserve">0.60 – 1.00</t>
  </si>
  <si>
    <t xml:space="preserve">Rendimiento de compactación — tabla de referencia (m³/h)</t>
  </si>
  <si>
    <t xml:space="preserve">1.5 – 2.5</t>
  </si>
  <si>
    <t xml:space="preserve">30 – 80</t>
  </si>
  <si>
    <t xml:space="preserve">50 – 150</t>
  </si>
  <si>
    <t xml:space="preserve">50 – 120</t>
  </si>
  <si>
    <t xml:space="preserve">30 – 70</t>
  </si>
  <si>
    <t xml:space="preserve">3.0 – 4.5</t>
  </si>
  <si>
    <t xml:space="preserve">70 – 200</t>
  </si>
  <si>
    <t xml:space="preserve">60 – 150</t>
  </si>
  <si>
    <t xml:space="preserve">40 – 90</t>
  </si>
  <si>
    <t xml:space="preserve">7 – 9</t>
  </si>
  <si>
    <t xml:space="preserve">80 – 200</t>
  </si>
  <si>
    <t xml:space="preserve">120 – 350</t>
  </si>
  <si>
    <t xml:space="preserve">100 – 250</t>
  </si>
  <si>
    <t xml:space="preserve">80 – 150</t>
  </si>
  <si>
    <t xml:space="preserve">10 – 12</t>
  </si>
  <si>
    <t xml:space="preserve">120 – 300</t>
  </si>
  <si>
    <t xml:space="preserve">200 – 500</t>
  </si>
  <si>
    <t xml:space="preserve">150 – 300</t>
  </si>
  <si>
    <t xml:space="preserve">100 – 200</t>
  </si>
  <si>
    <t xml:space="preserve">60 – 180</t>
  </si>
  <si>
    <t xml:space="preserve">40 – 100</t>
  </si>
  <si>
    <t xml:space="preserve">100 – 400</t>
  </si>
  <si>
    <t xml:space="preserve">100 – 350</t>
  </si>
  <si>
    <t xml:space="preserve">400 – 900</t>
  </si>
  <si>
    <t xml:space="preserve">200 – 700</t>
  </si>
  <si>
    <t xml:space="preserve">200 – 600</t>
  </si>
  <si>
    <t xml:space="preserve">100 – 300</t>
  </si>
  <si>
    <t xml:space="preserve">500 – 1400</t>
  </si>
  <si>
    <t xml:space="preserve">350 – 1000</t>
  </si>
  <si>
    <t xml:space="preserve">300 – 800</t>
  </si>
  <si>
    <t xml:space="preserve">150 – 400</t>
  </si>
  <si>
    <t xml:space="preserve">900 – 2200</t>
  </si>
  <si>
    <t xml:space="preserve">500 – 1600</t>
  </si>
  <si>
    <t xml:space="preserve">500 – 1200</t>
  </si>
  <si>
    <t xml:space="preserve">300 – 500</t>
  </si>
  <si>
    <t xml:space="preserve">6 – 7</t>
  </si>
  <si>
    <t xml:space="preserve">300 – 600</t>
  </si>
  <si>
    <t xml:space="preserve">200 – 400</t>
  </si>
  <si>
    <t xml:space="preserve">150 – 250</t>
  </si>
  <si>
    <t xml:space="preserve">Rutina y costos de mantenimiento preventivo — BOMAG BM 1000/20</t>
  </si>
  <si>
    <t xml:space="preserve">Revisión</t>
  </si>
  <si>
    <t xml:space="preserve">Período</t>
  </si>
  <si>
    <t xml:space="preserve">Intervalo (h)</t>
  </si>
  <si>
    <t xml:space="preserve">Descripción</t>
  </si>
  <si>
    <t xml:space="preserve">Código SAP</t>
  </si>
  <si>
    <t xml:space="preserve">Cantidad (texto)</t>
  </si>
  <si>
    <t xml:space="preserve">Cantidad (núm.)</t>
  </si>
  <si>
    <t xml:space="preserve">Precio público (USD)</t>
  </si>
  <si>
    <t xml:space="preserve">Costo por servicio (USD)</t>
  </si>
  <si>
    <t xml:space="preserve">Servicios en horas analizadas</t>
  </si>
  <si>
    <t xml:space="preserve">Costo en horas analizadas (USD)</t>
  </si>
  <si>
    <t xml:space="preserve">Cada 250 h de servicio</t>
  </si>
  <si>
    <t xml:space="preserve">Cambiar el aceite del motor</t>
  </si>
  <si>
    <t xml:space="preserve">250 H</t>
  </si>
  <si>
    <t xml:space="preserve">Aceite del motor</t>
  </si>
  <si>
    <t xml:space="preserve">54011173</t>
  </si>
  <si>
    <t xml:space="preserve">16</t>
  </si>
  <si>
    <t xml:space="preserve">l</t>
  </si>
  <si>
    <t xml:space="preserve">Reemplazar filtro de aceite</t>
  </si>
  <si>
    <t xml:space="preserve">Filtro de aceite</t>
  </si>
  <si>
    <t xml:space="preserve">31782392</t>
  </si>
  <si>
    <t xml:space="preserve">1</t>
  </si>
  <si>
    <t xml:space="preserve">PC</t>
  </si>
  <si>
    <t xml:space="preserve">Cada 500 h de servicio</t>
  </si>
  <si>
    <t xml:space="preserve">Cambiar aceite de la transmisión (reductores de ruedas) ISO VG 220</t>
  </si>
  <si>
    <t xml:space="preserve">500 H</t>
  </si>
  <si>
    <t xml:space="preserve">Aceite de engranaje ISO VG 220</t>
  </si>
  <si>
    <t xml:space="preserve">86821150</t>
  </si>
  <si>
    <t xml:space="preserve">4 x 0,9</t>
  </si>
  <si>
    <t xml:space="preserve">Cambiar aceite del engranaje de fresado (ISO VG 220)</t>
  </si>
  <si>
    <t xml:space="preserve">Reemplazar filtro de combustible, purgar aire del sistema</t>
  </si>
  <si>
    <t xml:space="preserve">Filtro de combustible</t>
  </si>
  <si>
    <t xml:space="preserve">31782401</t>
  </si>
  <si>
    <t xml:space="preserve">Cada 1000 h de servicio</t>
  </si>
  <si>
    <t xml:space="preserve">Reemplazar elemento del filtro de aire (si es necesario)</t>
  </si>
  <si>
    <t xml:space="preserve">1000 H</t>
  </si>
  <si>
    <t xml:space="preserve">Elemento del filtro de aire</t>
  </si>
  <si>
    <t xml:space="preserve">31800152</t>
  </si>
  <si>
    <t xml:space="preserve">Reemplazar cartucho de seguridad (si es necesario)</t>
  </si>
  <si>
    <t xml:space="preserve">Cartucho de seguridad</t>
  </si>
  <si>
    <t xml:space="preserve">31782399</t>
  </si>
  <si>
    <t xml:space="preserve">Cada 1500 h de servicio</t>
  </si>
  <si>
    <t xml:space="preserve">Reemplazar correa trapezoidal estriada</t>
  </si>
  <si>
    <t xml:space="preserve">1500 H</t>
  </si>
  <si>
    <t xml:space="preserve">Correa en V</t>
  </si>
  <si>
    <t xml:space="preserve">54011201</t>
  </si>
  <si>
    <t xml:space="preserve">Cada 2000 h de servicio</t>
  </si>
  <si>
    <t xml:space="preserve">Reemplazar líquido de refrigeración</t>
  </si>
  <si>
    <t xml:space="preserve">2000 H</t>
  </si>
  <si>
    <t xml:space="preserve">Líquido de refrigeración</t>
  </si>
  <si>
    <t xml:space="preserve">86821152</t>
  </si>
  <si>
    <t xml:space="preserve">24</t>
  </si>
  <si>
    <t xml:space="preserve">Cada 4500 h de servicio</t>
  </si>
  <si>
    <t xml:space="preserve">Reemplazar aceite hidráulico</t>
  </si>
  <si>
    <t xml:space="preserve">4500 H</t>
  </si>
  <si>
    <t xml:space="preserve">Aceite hidráulico (ISO), HVLP 46</t>
  </si>
  <si>
    <t xml:space="preserve">86821151</t>
  </si>
  <si>
    <t xml:space="preserve">120</t>
  </si>
  <si>
    <t xml:space="preserve">Total</t>
  </si>
  <si>
    <t xml:space="preserve">Costo preventivo por hora (USD/h)</t>
  </si>
  <si>
    <t xml:space="preserve">Nota: en la app esta tabla es informativa; "Costo por servicio" = Cantidad × Precio público (la app no trae el total).</t>
  </si>
</sst>
</file>

<file path=xl/styles.xml><?xml version="1.0" encoding="utf-8"?>
<styleSheet xmlns="http://schemas.openxmlformats.org/spreadsheetml/2006/main">
  <numFmts count="13">
    <numFmt numFmtId="164" formatCode="General"/>
    <numFmt numFmtId="165" formatCode="\$#,##0.00;&quot;($&quot;#,##0.00\);\-"/>
    <numFmt numFmtId="166" formatCode="#,##0;\(#,##0\);\-"/>
    <numFmt numFmtId="167" formatCode="0.0%;\(0.0%\);\-"/>
    <numFmt numFmtId="168" formatCode="0.00\x"/>
    <numFmt numFmtId="169" formatCode="#,##0.00;\(#,##0.00\);\-"/>
    <numFmt numFmtId="170" formatCode="0.00"/>
    <numFmt numFmtId="171" formatCode="#,##0.0;\(#,##0.0\);\-"/>
    <numFmt numFmtId="172" formatCode="#,##0&quot; €&quot;"/>
    <numFmt numFmtId="173" formatCode="#,##0.00"/>
    <numFmt numFmtId="174" formatCode="\$#,##0;&quot;($&quot;#,##0\);\-"/>
    <numFmt numFmtId="175" formatCode="#,##0&quot; h&quot;"/>
    <numFmt numFmtId="176" formatCode="#,##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b val="true"/>
      <sz val="11"/>
      <name val="Arial"/>
      <family val="0"/>
      <charset val="1"/>
    </font>
    <font>
      <sz val="11"/>
      <color rgb="FF000000"/>
      <name val="Arial"/>
      <family val="0"/>
      <charset val="1"/>
    </font>
    <font>
      <b val="true"/>
      <sz val="11"/>
      <color rgb="FF0000FF"/>
      <name val="Arial"/>
      <family val="0"/>
      <charset val="1"/>
    </font>
    <font>
      <b val="true"/>
      <sz val="11"/>
      <color rgb="FF000000"/>
      <name val="Arial"/>
      <family val="0"/>
      <charset val="1"/>
    </font>
    <font>
      <b val="true"/>
      <sz val="11"/>
      <color rgb="FF008000"/>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12" fillId="2"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7" fontId="12" fillId="2" borderId="1" xfId="0" applyFont="true" applyBorder="true" applyAlignment="false" applyProtection="false">
      <alignment horizontal="general" vertical="bottom" textRotation="0" wrapText="false" indent="0" shrinkToFit="false"/>
      <protection locked="true" hidden="false"/>
    </xf>
    <xf numFmtId="168" fontId="12" fillId="2" borderId="1" xfId="0" applyFont="true" applyBorder="true" applyAlignment="false" applyProtection="false">
      <alignment horizontal="general" vertical="bottom" textRotation="0" wrapText="false" indent="0" shrinkToFit="false"/>
      <protection locked="true" hidden="false"/>
    </xf>
    <xf numFmtId="169" fontId="12" fillId="2" borderId="1" xfId="0" applyFont="true" applyBorder="true" applyAlignment="false" applyProtection="false">
      <alignment horizontal="general" vertical="bottom" textRotation="0" wrapText="false" indent="0" shrinkToFit="false"/>
      <protection locked="true" hidden="false"/>
    </xf>
    <xf numFmtId="170" fontId="12" fillId="2" borderId="1" xfId="0" applyFont="true" applyBorder="true" applyAlignment="false" applyProtection="false">
      <alignment horizontal="general" vertical="bottom" textRotation="0" wrapText="false" indent="0" shrinkToFit="false"/>
      <protection locked="true" hidden="false"/>
    </xf>
    <xf numFmtId="171" fontId="12" fillId="2" borderId="1" xfId="0" applyFont="true" applyBorder="true" applyAlignment="false" applyProtection="false">
      <alignment horizontal="general" vertical="bottom" textRotation="0" wrapText="false" indent="0" shrinkToFit="false"/>
      <protection locked="true" hidden="false"/>
    </xf>
    <xf numFmtId="172" fontId="12"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4"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4" fontId="13"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4" fontId="6"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true" indent="0" shrinkToFit="false"/>
      <protection locked="true" hidden="false"/>
    </xf>
    <xf numFmtId="175" fontId="8" fillId="4"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76"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D9E1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7.xml"/><Relationship Id="rId3" Type="http://schemas.openxmlformats.org/officeDocument/2006/relationships/vmlDrawing" Target="../drawings/vmlDrawing3.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6" t="s">
        <v>5</v>
      </c>
      <c r="B6" s="4" t="s">
        <v>6</v>
      </c>
    </row>
    <row r="7" customFormat="false" ht="15" hidden="false" customHeight="false" outlineLevel="0" collapsed="false">
      <c r="A7" s="7" t="s">
        <v>7</v>
      </c>
      <c r="B7" s="4" t="s">
        <v>8</v>
      </c>
    </row>
    <row r="8" customFormat="false" ht="15" hidden="false" customHeight="false" outlineLevel="0" collapsed="false">
      <c r="A8" s="8" t="s">
        <v>9</v>
      </c>
      <c r="B8" s="4" t="s">
        <v>10</v>
      </c>
    </row>
    <row r="9" customFormat="false" ht="15" hidden="false" customHeight="false" outlineLevel="0" collapsed="false">
      <c r="A9" s="3"/>
      <c r="B9" s="4"/>
    </row>
    <row r="10" customFormat="false" ht="15" hidden="false" customHeight="false" outlineLevel="0" collapsed="false">
      <c r="A10" s="3" t="s">
        <v>11</v>
      </c>
      <c r="B10" s="4"/>
    </row>
    <row r="11" customFormat="false" ht="26.85" hidden="false" customHeight="false" outlineLevel="0" collapsed="false">
      <c r="A11" s="3" t="s">
        <v>12</v>
      </c>
      <c r="B11" s="4" t="s">
        <v>13</v>
      </c>
    </row>
    <row r="12" customFormat="false" ht="15" hidden="false" customHeight="false" outlineLevel="0" collapsed="false">
      <c r="A12" s="3" t="s">
        <v>14</v>
      </c>
      <c r="B12" s="4" t="s">
        <v>15</v>
      </c>
    </row>
    <row r="13" customFormat="false" ht="15" hidden="false" customHeight="false" outlineLevel="0" collapsed="false">
      <c r="A13" s="3" t="s">
        <v>16</v>
      </c>
      <c r="B13" s="4" t="s">
        <v>17</v>
      </c>
    </row>
    <row r="14" customFormat="false" ht="15" hidden="false" customHeight="false" outlineLevel="0" collapsed="false">
      <c r="A14" s="3" t="s">
        <v>18</v>
      </c>
      <c r="B14" s="4" t="s">
        <v>19</v>
      </c>
    </row>
    <row r="15" customFormat="false" ht="15" hidden="false" customHeight="false" outlineLevel="0" collapsed="false">
      <c r="A15" s="3" t="s">
        <v>20</v>
      </c>
      <c r="B15" s="4" t="s">
        <v>21</v>
      </c>
    </row>
    <row r="16" customFormat="false" ht="15" hidden="false" customHeight="false" outlineLevel="0" collapsed="false">
      <c r="A16" s="3" t="s">
        <v>22</v>
      </c>
      <c r="B16" s="4" t="s">
        <v>23</v>
      </c>
    </row>
    <row r="17" customFormat="false" ht="15" hidden="false" customHeight="false" outlineLevel="0" collapsed="false">
      <c r="A17" s="3" t="s">
        <v>24</v>
      </c>
      <c r="B17" s="4" t="s">
        <v>25</v>
      </c>
    </row>
    <row r="18" customFormat="false" ht="15" hidden="false" customHeight="false" outlineLevel="0" collapsed="false">
      <c r="A18" s="3" t="s">
        <v>26</v>
      </c>
      <c r="B18" s="4" t="s">
        <v>27</v>
      </c>
    </row>
    <row r="19" customFormat="false" ht="15" hidden="false" customHeight="false" outlineLevel="0" collapsed="false">
      <c r="A19" s="3" t="s">
        <v>28</v>
      </c>
      <c r="B19" s="4" t="s">
        <v>29</v>
      </c>
    </row>
    <row r="20" customFormat="false" ht="15" hidden="false" customHeight="false" outlineLevel="0" collapsed="false">
      <c r="A20" s="3" t="s">
        <v>30</v>
      </c>
      <c r="B20" s="4" t="s">
        <v>31</v>
      </c>
    </row>
    <row r="21" customFormat="false" ht="15" hidden="false" customHeight="false" outlineLevel="0" collapsed="false">
      <c r="A21" s="3" t="s">
        <v>32</v>
      </c>
      <c r="B21" s="4" t="s">
        <v>33</v>
      </c>
    </row>
    <row r="22" customFormat="false" ht="15" hidden="false" customHeight="false" outlineLevel="0" collapsed="false">
      <c r="A22" s="3" t="s">
        <v>34</v>
      </c>
      <c r="B22" s="4" t="s">
        <v>35</v>
      </c>
    </row>
    <row r="23" customFormat="false" ht="15" hidden="false" customHeight="false" outlineLevel="0" collapsed="false">
      <c r="A23" s="3"/>
      <c r="B23" s="4"/>
    </row>
    <row r="24" customFormat="false" ht="26.85" hidden="false" customHeight="false" outlineLevel="0" collapsed="false">
      <c r="A24" s="3" t="s">
        <v>36</v>
      </c>
      <c r="B24" s="4" t="s">
        <v>37</v>
      </c>
    </row>
    <row r="25" customFormat="false" ht="15" hidden="false" customHeight="false" outlineLevel="0" collapsed="false">
      <c r="A25" s="3" t="s">
        <v>38</v>
      </c>
      <c r="B25" s="4" t="s">
        <v>39</v>
      </c>
    </row>
    <row r="26" customFormat="false" ht="15" hidden="false" customHeight="false" outlineLevel="0" collapsed="false">
      <c r="A26" s="3" t="s">
        <v>40</v>
      </c>
      <c r="B26" s="4" t="s">
        <v>41</v>
      </c>
    </row>
    <row r="27" customFormat="false" ht="26.85" hidden="false" customHeight="false" outlineLevel="0" collapsed="false">
      <c r="A27" s="3" t="s">
        <v>42</v>
      </c>
      <c r="B27" s="4" t="s">
        <v>43</v>
      </c>
    </row>
    <row r="28" customFormat="false" ht="26.85" hidden="false" customHeight="false" outlineLevel="0" collapsed="false">
      <c r="A28" s="3" t="s">
        <v>44</v>
      </c>
      <c r="B28" s="4" t="s">
        <v>45</v>
      </c>
    </row>
    <row r="29" customFormat="false" ht="15" hidden="false" customHeight="false" outlineLevel="0" collapsed="false">
      <c r="A29" s="3" t="s">
        <v>46</v>
      </c>
      <c r="B29" s="4" t="s">
        <v>47</v>
      </c>
    </row>
    <row r="30" customFormat="false" ht="15" hidden="false" customHeight="false" outlineLevel="0" collapsed="false">
      <c r="A30" s="3"/>
      <c r="B30" s="4"/>
    </row>
    <row r="31" customFormat="false" ht="15" hidden="false" customHeight="false" outlineLevel="0" collapsed="false">
      <c r="A31" s="3" t="s">
        <v>48</v>
      </c>
      <c r="B31" s="4"/>
    </row>
    <row r="32" customFormat="false" ht="26.85" hidden="false" customHeight="false" outlineLevel="0" collapsed="false">
      <c r="A32" s="3" t="s">
        <v>49</v>
      </c>
      <c r="B32" s="4" t="s">
        <v>50</v>
      </c>
    </row>
    <row r="33" customFormat="false" ht="26.85" hidden="false" customHeight="false" outlineLevel="0" collapsed="false">
      <c r="A33" s="3" t="s">
        <v>51</v>
      </c>
      <c r="B33" s="4" t="s">
        <v>52</v>
      </c>
    </row>
    <row r="34" customFormat="false" ht="15" hidden="false" customHeight="false" outlineLevel="0" collapsed="false">
      <c r="A34" s="3" t="s">
        <v>53</v>
      </c>
      <c r="B34" s="4"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4"/>
    <col collapsed="false" customWidth="true" hidden="false" outlineLevel="0" max="4" min="4" style="0" width="80"/>
  </cols>
  <sheetData>
    <row r="1" customFormat="false" ht="17.35" hidden="false" customHeight="false" outlineLevel="0" collapsed="false">
      <c r="A1" s="1" t="s">
        <v>55</v>
      </c>
    </row>
    <row r="3" customFormat="false" ht="45" hidden="false" customHeight="true" outlineLevel="0" collapsed="false">
      <c r="A3" s="9" t="s">
        <v>56</v>
      </c>
      <c r="B3" s="9" t="s">
        <v>57</v>
      </c>
      <c r="C3" s="9" t="s">
        <v>58</v>
      </c>
      <c r="D3" s="9" t="s">
        <v>59</v>
      </c>
    </row>
    <row r="4" customFormat="false" ht="15" hidden="false" customHeight="false" outlineLevel="0" collapsed="false">
      <c r="A4" s="10" t="s">
        <v>60</v>
      </c>
      <c r="B4" s="11"/>
      <c r="C4" s="11"/>
      <c r="D4" s="11"/>
    </row>
    <row r="5" customFormat="false" ht="15" hidden="false" customHeight="false" outlineLevel="0" collapsed="false">
      <c r="A5" s="12" t="s">
        <v>61</v>
      </c>
      <c r="B5" s="13" t="n">
        <v>1.2</v>
      </c>
      <c r="C5" s="12" t="s">
        <v>62</v>
      </c>
      <c r="D5" s="14" t="s">
        <v>63</v>
      </c>
    </row>
    <row r="6" customFormat="false" ht="15" hidden="false" customHeight="false" outlineLevel="0" collapsed="false">
      <c r="A6" s="12" t="s">
        <v>64</v>
      </c>
      <c r="B6" s="15" t="n">
        <v>3000</v>
      </c>
      <c r="C6" s="12" t="s">
        <v>65</v>
      </c>
      <c r="D6" s="14" t="s">
        <v>66</v>
      </c>
    </row>
    <row r="7" customFormat="false" ht="15" hidden="false" customHeight="false" outlineLevel="0" collapsed="false">
      <c r="A7" s="10" t="s">
        <v>67</v>
      </c>
      <c r="B7" s="11"/>
      <c r="C7" s="11"/>
      <c r="D7" s="11"/>
    </row>
    <row r="8" customFormat="false" ht="15" hidden="false" customHeight="false" outlineLevel="0" collapsed="false">
      <c r="A8" s="12" t="s">
        <v>68</v>
      </c>
      <c r="B8" s="16" t="s">
        <v>69</v>
      </c>
      <c r="C8" s="12"/>
      <c r="D8" s="14" t="s">
        <v>70</v>
      </c>
    </row>
    <row r="9" customFormat="false" ht="15" hidden="false" customHeight="false" outlineLevel="0" collapsed="false">
      <c r="A9" s="12" t="s">
        <v>71</v>
      </c>
      <c r="B9" s="17" t="n">
        <v>1</v>
      </c>
      <c r="C9" s="12" t="s">
        <v>72</v>
      </c>
      <c r="D9" s="14" t="s">
        <v>73</v>
      </c>
    </row>
    <row r="10" customFormat="false" ht="15" hidden="false" customHeight="false" outlineLevel="0" collapsed="false">
      <c r="A10" s="12" t="s">
        <v>74</v>
      </c>
      <c r="B10" s="15" t="n">
        <v>0</v>
      </c>
      <c r="C10" s="12" t="s">
        <v>75</v>
      </c>
      <c r="D10" s="14" t="s">
        <v>76</v>
      </c>
    </row>
    <row r="11" customFormat="false" ht="15" hidden="false" customHeight="false" outlineLevel="0" collapsed="false">
      <c r="A11" s="12" t="s">
        <v>77</v>
      </c>
      <c r="B11" s="18" t="n">
        <v>1.25</v>
      </c>
      <c r="C11" s="12" t="s">
        <v>78</v>
      </c>
      <c r="D11" s="14" t="s">
        <v>79</v>
      </c>
    </row>
    <row r="12" customFormat="false" ht="15" hidden="false" customHeight="false" outlineLevel="0" collapsed="false">
      <c r="A12" s="10" t="s">
        <v>42</v>
      </c>
      <c r="B12" s="11"/>
      <c r="C12" s="11"/>
      <c r="D12" s="11"/>
    </row>
    <row r="13" customFormat="false" ht="15" hidden="false" customHeight="false" outlineLevel="0" collapsed="false">
      <c r="A13" s="12" t="s">
        <v>80</v>
      </c>
      <c r="B13" s="13" t="n">
        <v>35</v>
      </c>
      <c r="C13" s="12" t="s">
        <v>81</v>
      </c>
      <c r="D13" s="14" t="s">
        <v>82</v>
      </c>
    </row>
    <row r="14" customFormat="false" ht="15" hidden="false" customHeight="false" outlineLevel="0" collapsed="false">
      <c r="A14" s="12" t="s">
        <v>83</v>
      </c>
      <c r="B14" s="13" t="n">
        <v>120</v>
      </c>
      <c r="C14" s="12" t="s">
        <v>81</v>
      </c>
      <c r="D14" s="14" t="s">
        <v>84</v>
      </c>
    </row>
    <row r="15" customFormat="false" ht="15" hidden="false" customHeight="false" outlineLevel="0" collapsed="false">
      <c r="A15" s="12" t="s">
        <v>85</v>
      </c>
      <c r="B15" s="13" t="n">
        <v>15</v>
      </c>
      <c r="C15" s="12" t="s">
        <v>86</v>
      </c>
      <c r="D15" s="14" t="s">
        <v>87</v>
      </c>
    </row>
    <row r="16" customFormat="false" ht="15" hidden="false" customHeight="false" outlineLevel="0" collapsed="false">
      <c r="A16" s="12" t="s">
        <v>88</v>
      </c>
      <c r="B16" s="15" t="n">
        <v>50</v>
      </c>
      <c r="C16" s="12" t="s">
        <v>65</v>
      </c>
      <c r="D16" s="14" t="s">
        <v>89</v>
      </c>
    </row>
    <row r="17" customFormat="false" ht="15" hidden="false" customHeight="false" outlineLevel="0" collapsed="false">
      <c r="A17" s="12" t="s">
        <v>90</v>
      </c>
      <c r="B17" s="19" t="n">
        <v>0.5</v>
      </c>
      <c r="C17" s="12" t="s">
        <v>65</v>
      </c>
      <c r="D17" s="14" t="s">
        <v>91</v>
      </c>
    </row>
    <row r="18" customFormat="false" ht="15" hidden="false" customHeight="false" outlineLevel="0" collapsed="false">
      <c r="A18" s="10" t="s">
        <v>92</v>
      </c>
      <c r="B18" s="11"/>
      <c r="C18" s="11"/>
      <c r="D18" s="11"/>
    </row>
    <row r="19" customFormat="false" ht="15" hidden="false" customHeight="false" outlineLevel="0" collapsed="false">
      <c r="A19" s="12" t="s">
        <v>93</v>
      </c>
      <c r="B19" s="15" t="n">
        <v>0</v>
      </c>
      <c r="C19" s="12" t="s">
        <v>75</v>
      </c>
      <c r="D19" s="14" t="s">
        <v>94</v>
      </c>
    </row>
    <row r="20" customFormat="false" ht="15" hidden="false" customHeight="false" outlineLevel="0" collapsed="false">
      <c r="A20" s="12" t="s">
        <v>95</v>
      </c>
      <c r="B20" s="17" t="n">
        <v>0.2</v>
      </c>
      <c r="C20" s="12" t="s">
        <v>72</v>
      </c>
      <c r="D20" s="14" t="s">
        <v>96</v>
      </c>
    </row>
    <row r="21" customFormat="false" ht="15" hidden="false" customHeight="false" outlineLevel="0" collapsed="false">
      <c r="A21" s="10" t="s">
        <v>97</v>
      </c>
      <c r="B21" s="11"/>
      <c r="C21" s="11"/>
      <c r="D21" s="11"/>
    </row>
    <row r="22" customFormat="false" ht="15" hidden="false" customHeight="false" outlineLevel="0" collapsed="false">
      <c r="A22" s="12" t="s">
        <v>98</v>
      </c>
      <c r="B22" s="20" t="n">
        <v>1.08</v>
      </c>
      <c r="C22" s="12" t="s">
        <v>99</v>
      </c>
      <c r="D22" s="14" t="s">
        <v>100</v>
      </c>
    </row>
    <row r="23" customFormat="false" ht="15" hidden="false" customHeight="false" outlineLevel="0" collapsed="false">
      <c r="A23" s="12" t="s">
        <v>101</v>
      </c>
      <c r="B23" s="15" t="n">
        <v>10</v>
      </c>
      <c r="C23" s="12" t="s">
        <v>65</v>
      </c>
      <c r="D23" s="14" t="s">
        <v>102</v>
      </c>
    </row>
    <row r="24" customFormat="false" ht="15" hidden="false" customHeight="false" outlineLevel="0" collapsed="false">
      <c r="A24" s="12" t="s">
        <v>103</v>
      </c>
      <c r="B24" s="17" t="n">
        <v>0.17</v>
      </c>
      <c r="C24" s="12" t="s">
        <v>72</v>
      </c>
      <c r="D24" s="14" t="s">
        <v>104</v>
      </c>
    </row>
    <row r="25" customFormat="false" ht="15" hidden="false" customHeight="false" outlineLevel="0" collapsed="false">
      <c r="A25" s="12" t="s">
        <v>105</v>
      </c>
      <c r="B25" s="20" t="n">
        <v>0.75</v>
      </c>
      <c r="C25" s="12" t="s">
        <v>78</v>
      </c>
      <c r="D25" s="14" t="s">
        <v>106</v>
      </c>
    </row>
    <row r="26" customFormat="false" ht="15" hidden="false" customHeight="false" outlineLevel="0" collapsed="false">
      <c r="A26" s="12" t="s">
        <v>107</v>
      </c>
      <c r="B26" s="20" t="n">
        <v>0.9</v>
      </c>
      <c r="C26" s="12" t="s">
        <v>78</v>
      </c>
      <c r="D26" s="14" t="s">
        <v>106</v>
      </c>
    </row>
    <row r="27" customFormat="false" ht="15" hidden="false" customHeight="false" outlineLevel="0" collapsed="false">
      <c r="A27" s="12" t="s">
        <v>108</v>
      </c>
      <c r="B27" s="20" t="n">
        <v>0.9</v>
      </c>
      <c r="C27" s="12" t="s">
        <v>78</v>
      </c>
      <c r="D27" s="14" t="s">
        <v>106</v>
      </c>
    </row>
    <row r="28" customFormat="false" ht="15" hidden="false" customHeight="false" outlineLevel="0" collapsed="false">
      <c r="A28" s="12" t="s">
        <v>109</v>
      </c>
      <c r="B28" s="21" t="n">
        <v>10.5</v>
      </c>
      <c r="C28" s="12" t="s">
        <v>110</v>
      </c>
      <c r="D28" s="14" t="s">
        <v>111</v>
      </c>
    </row>
    <row r="29" customFormat="false" ht="15" hidden="false" customHeight="false" outlineLevel="0" collapsed="false">
      <c r="A29" s="12" t="s">
        <v>112</v>
      </c>
      <c r="B29" s="21" t="n">
        <v>3.5</v>
      </c>
      <c r="C29" s="12" t="s">
        <v>110</v>
      </c>
      <c r="D29" s="14" t="s">
        <v>113</v>
      </c>
    </row>
    <row r="30" customFormat="false" ht="15" hidden="false" customHeight="false" outlineLevel="0" collapsed="false">
      <c r="A30" s="12" t="s">
        <v>114</v>
      </c>
      <c r="B30" s="22" t="n">
        <v>24000</v>
      </c>
      <c r="C30" s="12" t="s">
        <v>115</v>
      </c>
      <c r="D30" s="14" t="s">
        <v>116</v>
      </c>
    </row>
    <row r="31" customFormat="false" ht="15" hidden="false" customHeight="false" outlineLevel="0" collapsed="false">
      <c r="A31" s="12" t="s">
        <v>117</v>
      </c>
      <c r="B31" s="15" t="n">
        <v>1000</v>
      </c>
      <c r="C31" s="12" t="s">
        <v>118</v>
      </c>
      <c r="D31" s="14" t="s">
        <v>119</v>
      </c>
    </row>
    <row r="32" customFormat="false" ht="15" hidden="false" customHeight="false" outlineLevel="0" collapsed="false">
      <c r="A32" s="12" t="s">
        <v>120</v>
      </c>
      <c r="B32" s="15" t="n">
        <v>60</v>
      </c>
      <c r="C32" s="12" t="s">
        <v>121</v>
      </c>
      <c r="D32" s="14" t="s">
        <v>122</v>
      </c>
    </row>
    <row r="34" customFormat="false" ht="15" hidden="false" customHeight="false" outlineLevel="0" collapsed="false">
      <c r="A34" s="10" t="s">
        <v>123</v>
      </c>
      <c r="B34" s="11"/>
      <c r="C34" s="11"/>
      <c r="D34" s="11"/>
    </row>
    <row r="35" customFormat="false" ht="15" hidden="false" customHeight="false" outlineLevel="0" collapsed="false">
      <c r="A35" s="23" t="s">
        <v>124</v>
      </c>
      <c r="B35" s="23" t="s">
        <v>125</v>
      </c>
      <c r="C35" s="23"/>
      <c r="D35" s="23" t="s">
        <v>126</v>
      </c>
    </row>
    <row r="36" customFormat="false" ht="15" hidden="false" customHeight="false" outlineLevel="0" collapsed="false">
      <c r="A36" s="12" t="s">
        <v>86</v>
      </c>
      <c r="B36" s="24" t="n">
        <v>1</v>
      </c>
      <c r="D36" s="14" t="s">
        <v>127</v>
      </c>
    </row>
    <row r="37" customFormat="false" ht="15" hidden="false" customHeight="false" outlineLevel="0" collapsed="false">
      <c r="A37" s="12" t="s">
        <v>115</v>
      </c>
      <c r="B37" s="24" t="n">
        <v>0.92</v>
      </c>
    </row>
    <row r="38" customFormat="false" ht="15" hidden="false" customHeight="false" outlineLevel="0" collapsed="false">
      <c r="A38" s="12" t="s">
        <v>128</v>
      </c>
      <c r="B38" s="24" t="n">
        <v>16500</v>
      </c>
    </row>
    <row r="39" customFormat="false" ht="15" hidden="false" customHeight="false" outlineLevel="0" collapsed="false">
      <c r="A39" s="12" t="s">
        <v>129</v>
      </c>
      <c r="B39" s="24" t="n">
        <v>1380</v>
      </c>
    </row>
    <row r="40" customFormat="false" ht="15" hidden="false" customHeight="false" outlineLevel="0" collapsed="false">
      <c r="A40" s="12" t="s">
        <v>130</v>
      </c>
      <c r="B40" s="24" t="n">
        <v>33.5</v>
      </c>
    </row>
    <row r="41" customFormat="false" ht="15" hidden="false" customHeight="false" outlineLevel="0" collapsed="false">
      <c r="A41" s="12" t="s">
        <v>131</v>
      </c>
      <c r="B41" s="24" t="n">
        <v>25500</v>
      </c>
    </row>
    <row r="42" customFormat="false" ht="15" hidden="false" customHeight="false" outlineLevel="0" collapsed="false">
      <c r="A42" s="12" t="s">
        <v>132</v>
      </c>
      <c r="B42" s="24" t="n">
        <v>4.45</v>
      </c>
    </row>
    <row r="43" customFormat="false" ht="15" hidden="false" customHeight="false" outlineLevel="0" collapsed="false">
      <c r="A43" s="12" t="s">
        <v>133</v>
      </c>
      <c r="B43" s="24" t="n">
        <v>58</v>
      </c>
    </row>
    <row r="45" customFormat="false" ht="15" hidden="false" customHeight="false" outlineLevel="0" collapsed="false">
      <c r="A45" s="23" t="s">
        <v>134</v>
      </c>
      <c r="B45" s="16" t="s">
        <v>86</v>
      </c>
    </row>
    <row r="46" customFormat="false" ht="15" hidden="false" customHeight="false" outlineLevel="0" collapsed="false">
      <c r="A46" s="23" t="s">
        <v>135</v>
      </c>
      <c r="B46" s="25" t="n">
        <f aca="false">INDEX($B$36:$B$43,MATCH(Moneda,$A$36:$A$43,0))</f>
        <v>1</v>
      </c>
    </row>
  </sheetData>
  <dataValidations count="2">
    <dataValidation allowBlank="false" errorStyle="stop" operator="between" showDropDown="false" showErrorMessage="false" showInputMessage="false" sqref="B8" type="list">
      <formula1>"Roca,Grava,Suelo mixto,Arcilla"</formula1>
      <formula2>0</formula2>
    </dataValidation>
    <dataValidation allowBlank="false" errorStyle="stop" operator="between" showDropDown="false" showErrorMessage="false" showInputMessage="false" sqref="B45" type="list">
      <formula1>$A$36:$A$43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12" min="4" style="0" width="16"/>
    <col collapsed="false" customWidth="true" hidden="false" outlineLevel="0" max="13" min="13" style="0" width="40"/>
    <col collapsed="false" customWidth="true" hidden="false" outlineLevel="0" max="14" min="14" style="0" width="16"/>
    <col collapsed="false" customWidth="true" hidden="false" outlineLevel="0" max="15" min="15" style="0" width="40"/>
    <col collapsed="false" customWidth="true" hidden="false" outlineLevel="0" max="16" min="16" style="0" width="16"/>
    <col collapsed="false" customWidth="true" hidden="false" outlineLevel="0" max="22" min="17" style="0" width="40"/>
    <col collapsed="false" customWidth="true" hidden="false" outlineLevel="0" max="31" min="23" style="0" width="16"/>
  </cols>
  <sheetData>
    <row r="1" customFormat="false" ht="45" hidden="false" customHeight="true" outlineLevel="0" collapsed="false">
      <c r="A1" s="9" t="s">
        <v>136</v>
      </c>
      <c r="B1" s="9" t="s">
        <v>137</v>
      </c>
      <c r="C1" s="9" t="s">
        <v>138</v>
      </c>
      <c r="D1" s="9" t="s">
        <v>139</v>
      </c>
      <c r="E1" s="9" t="s">
        <v>140</v>
      </c>
      <c r="F1" s="9" t="s">
        <v>141</v>
      </c>
      <c r="G1" s="9" t="s">
        <v>142</v>
      </c>
      <c r="H1" s="9" t="s">
        <v>143</v>
      </c>
      <c r="I1" s="9" t="s">
        <v>144</v>
      </c>
      <c r="J1" s="9" t="s">
        <v>145</v>
      </c>
      <c r="K1" s="9" t="s">
        <v>146</v>
      </c>
      <c r="L1" s="9" t="s">
        <v>147</v>
      </c>
      <c r="M1" s="9" t="s">
        <v>148</v>
      </c>
      <c r="N1" s="9" t="s">
        <v>149</v>
      </c>
      <c r="O1" s="9" t="s">
        <v>150</v>
      </c>
      <c r="P1" s="9" t="s">
        <v>151</v>
      </c>
      <c r="Q1" s="9" t="s">
        <v>152</v>
      </c>
      <c r="R1" s="9" t="s">
        <v>153</v>
      </c>
      <c r="S1" s="9" t="s">
        <v>154</v>
      </c>
      <c r="T1" s="9" t="s">
        <v>155</v>
      </c>
      <c r="U1" s="9" t="s">
        <v>156</v>
      </c>
      <c r="V1" s="9" t="s">
        <v>157</v>
      </c>
      <c r="W1" s="9" t="s">
        <v>158</v>
      </c>
      <c r="X1" s="9" t="s">
        <v>159</v>
      </c>
      <c r="Y1" s="9" t="s">
        <v>160</v>
      </c>
      <c r="Z1" s="9" t="s">
        <v>161</v>
      </c>
      <c r="AA1" s="9" t="s">
        <v>162</v>
      </c>
      <c r="AB1" s="9" t="s">
        <v>163</v>
      </c>
      <c r="AC1" s="9" t="s">
        <v>164</v>
      </c>
      <c r="AD1" s="9" t="s">
        <v>165</v>
      </c>
      <c r="AE1" s="9" t="s">
        <v>166</v>
      </c>
    </row>
    <row r="2" customFormat="false" ht="166.4" hidden="false" customHeight="false" outlineLevel="0" collapsed="false">
      <c r="A2" s="12" t="str">
        <f aca="false">B2&amp;" | "&amp;C2</f>
        <v>BOMAG | BW211 D-5 SL</v>
      </c>
      <c r="B2" s="26" t="s">
        <v>167</v>
      </c>
      <c r="C2" s="26" t="s">
        <v>168</v>
      </c>
      <c r="D2" s="26" t="s">
        <v>169</v>
      </c>
      <c r="E2" s="26" t="n">
        <v>10630</v>
      </c>
      <c r="F2" s="26" t="s">
        <v>170</v>
      </c>
      <c r="G2" s="26" t="n">
        <v>2.1</v>
      </c>
      <c r="H2" s="26" t="n">
        <v>100</v>
      </c>
      <c r="I2" s="26" t="s">
        <v>171</v>
      </c>
      <c r="J2" s="26" t="n">
        <v>28.4</v>
      </c>
      <c r="K2" s="26" t="n">
        <v>45</v>
      </c>
      <c r="L2" s="26" t="s">
        <v>172</v>
      </c>
      <c r="M2" s="27" t="s">
        <v>173</v>
      </c>
      <c r="N2" s="26" t="s">
        <v>174</v>
      </c>
      <c r="O2" s="27" t="s">
        <v>175</v>
      </c>
      <c r="P2" s="26"/>
      <c r="Q2" s="27" t="s">
        <v>176</v>
      </c>
      <c r="R2" s="27" t="s">
        <v>177</v>
      </c>
      <c r="S2" s="27" t="s">
        <v>178</v>
      </c>
      <c r="T2" s="27" t="s">
        <v>179</v>
      </c>
      <c r="U2" s="27" t="s">
        <v>180</v>
      </c>
      <c r="V2" s="27" t="s">
        <v>181</v>
      </c>
      <c r="W2" s="26" t="n">
        <v>60</v>
      </c>
      <c r="X2" s="26" t="s">
        <v>182</v>
      </c>
      <c r="Y2" s="26" t="n">
        <v>11.8</v>
      </c>
      <c r="Z2" s="28" t="n">
        <v>57592.78</v>
      </c>
      <c r="AA2" s="29" t="n">
        <v>1</v>
      </c>
      <c r="AB2" s="29" t="n">
        <v>2</v>
      </c>
      <c r="AC2" s="26" t="n">
        <v>3000</v>
      </c>
      <c r="AD2" s="28" t="n">
        <v>109072.78</v>
      </c>
      <c r="AE2" s="27" t="s">
        <v>183</v>
      </c>
    </row>
    <row r="3" customFormat="false" ht="166.4" hidden="false" customHeight="false" outlineLevel="0" collapsed="false">
      <c r="A3" s="12" t="str">
        <f aca="false">B3&amp;" | "&amp;C3</f>
        <v>BOMAG | BW211 D-5 SL</v>
      </c>
      <c r="B3" s="26" t="s">
        <v>167</v>
      </c>
      <c r="C3" s="26" t="s">
        <v>168</v>
      </c>
      <c r="D3" s="26" t="s">
        <v>184</v>
      </c>
      <c r="E3" s="26" t="n">
        <v>10630</v>
      </c>
      <c r="F3" s="26" t="s">
        <v>185</v>
      </c>
      <c r="G3" s="26" t="n">
        <v>2.1</v>
      </c>
      <c r="H3" s="26" t="n">
        <v>110</v>
      </c>
      <c r="I3" s="26" t="s">
        <v>171</v>
      </c>
      <c r="J3" s="26" t="n">
        <v>28.4</v>
      </c>
      <c r="K3" s="26" t="n">
        <v>45</v>
      </c>
      <c r="L3" s="26" t="s">
        <v>172</v>
      </c>
      <c r="M3" s="27" t="s">
        <v>173</v>
      </c>
      <c r="N3" s="26" t="s">
        <v>174</v>
      </c>
      <c r="O3" s="27" t="s">
        <v>175</v>
      </c>
      <c r="P3" s="26"/>
      <c r="Q3" s="27" t="s">
        <v>176</v>
      </c>
      <c r="R3" s="27" t="s">
        <v>177</v>
      </c>
      <c r="S3" s="27" t="s">
        <v>178</v>
      </c>
      <c r="T3" s="27" t="s">
        <v>179</v>
      </c>
      <c r="U3" s="27" t="s">
        <v>180</v>
      </c>
      <c r="V3" s="27" t="s">
        <v>181</v>
      </c>
      <c r="W3" s="26" t="n">
        <v>60</v>
      </c>
      <c r="X3" s="26" t="s">
        <v>182</v>
      </c>
      <c r="Y3" s="26" t="n">
        <v>11.8</v>
      </c>
      <c r="Z3" s="28" t="n">
        <v>59374</v>
      </c>
      <c r="AA3" s="29" t="n">
        <v>1</v>
      </c>
      <c r="AB3" s="29" t="n">
        <v>2</v>
      </c>
      <c r="AC3" s="26" t="n">
        <v>3000</v>
      </c>
      <c r="AD3" s="28" t="n">
        <v>110854</v>
      </c>
      <c r="AE3" s="27" t="s">
        <v>186</v>
      </c>
    </row>
    <row r="4" customFormat="false" ht="166.4" hidden="false" customHeight="false" outlineLevel="0" collapsed="false">
      <c r="A4" s="12" t="str">
        <f aca="false">B4&amp;" | "&amp;C4</f>
        <v>BOMAG | BW211 D-5 SL</v>
      </c>
      <c r="B4" s="26" t="s">
        <v>167</v>
      </c>
      <c r="C4" s="26" t="s">
        <v>168</v>
      </c>
      <c r="D4" s="26" t="s">
        <v>187</v>
      </c>
      <c r="E4" s="26" t="n">
        <v>10630</v>
      </c>
      <c r="F4" s="26" t="s">
        <v>188</v>
      </c>
      <c r="G4" s="26" t="n">
        <v>2.1</v>
      </c>
      <c r="H4" s="26" t="n">
        <v>132</v>
      </c>
      <c r="I4" s="26" t="s">
        <v>171</v>
      </c>
      <c r="J4" s="26" t="n">
        <v>28.4</v>
      </c>
      <c r="K4" s="26" t="n">
        <v>45</v>
      </c>
      <c r="L4" s="26" t="s">
        <v>189</v>
      </c>
      <c r="M4" s="27" t="s">
        <v>173</v>
      </c>
      <c r="N4" s="26" t="s">
        <v>174</v>
      </c>
      <c r="O4" s="27" t="s">
        <v>175</v>
      </c>
      <c r="P4" s="26"/>
      <c r="Q4" s="27" t="s">
        <v>176</v>
      </c>
      <c r="R4" s="27" t="s">
        <v>177</v>
      </c>
      <c r="S4" s="27" t="s">
        <v>178</v>
      </c>
      <c r="T4" s="27" t="s">
        <v>179</v>
      </c>
      <c r="U4" s="27" t="s">
        <v>180</v>
      </c>
      <c r="V4" s="27" t="s">
        <v>181</v>
      </c>
      <c r="W4" s="26" t="n">
        <v>60</v>
      </c>
      <c r="X4" s="26" t="s">
        <v>182</v>
      </c>
      <c r="Y4" s="26" t="n">
        <v>12.4</v>
      </c>
      <c r="Z4" s="28" t="n">
        <v>63530.18</v>
      </c>
      <c r="AA4" s="29" t="n">
        <v>1</v>
      </c>
      <c r="AB4" s="29" t="n">
        <v>2</v>
      </c>
      <c r="AC4" s="26" t="n">
        <v>3000</v>
      </c>
      <c r="AD4" s="28" t="n">
        <v>117170.18</v>
      </c>
      <c r="AE4" s="27" t="s">
        <v>190</v>
      </c>
    </row>
    <row r="5" customFormat="false" ht="166.4" hidden="false" customHeight="false" outlineLevel="0" collapsed="false">
      <c r="A5" s="12" t="str">
        <f aca="false">B5&amp;" | "&amp;C5</f>
        <v>BOMAG | BW211 D-5 SL</v>
      </c>
      <c r="B5" s="26" t="s">
        <v>167</v>
      </c>
      <c r="C5" s="26" t="s">
        <v>168</v>
      </c>
      <c r="D5" s="26" t="s">
        <v>191</v>
      </c>
      <c r="E5" s="26" t="n">
        <v>10630</v>
      </c>
      <c r="F5" s="26" t="s">
        <v>192</v>
      </c>
      <c r="G5" s="26" t="n">
        <v>2.13</v>
      </c>
      <c r="H5" s="26" t="n">
        <v>140</v>
      </c>
      <c r="I5" s="26" t="s">
        <v>193</v>
      </c>
      <c r="J5" s="26" t="n">
        <v>26.8</v>
      </c>
      <c r="K5" s="26" t="n">
        <v>45</v>
      </c>
      <c r="L5" s="26" t="s">
        <v>189</v>
      </c>
      <c r="M5" s="27" t="s">
        <v>173</v>
      </c>
      <c r="N5" s="26" t="s">
        <v>174</v>
      </c>
      <c r="O5" s="27" t="s">
        <v>175</v>
      </c>
      <c r="P5" s="26"/>
      <c r="Q5" s="27" t="s">
        <v>176</v>
      </c>
      <c r="R5" s="27" t="s">
        <v>177</v>
      </c>
      <c r="S5" s="27" t="s">
        <v>178</v>
      </c>
      <c r="T5" s="27" t="s">
        <v>179</v>
      </c>
      <c r="U5" s="27" t="s">
        <v>180</v>
      </c>
      <c r="V5" s="27" t="s">
        <v>181</v>
      </c>
      <c r="W5" s="26" t="n">
        <v>60</v>
      </c>
      <c r="X5" s="26" t="s">
        <v>182</v>
      </c>
      <c r="Y5" s="26" t="n">
        <v>12.4</v>
      </c>
      <c r="Z5" s="28" t="n">
        <v>66500</v>
      </c>
      <c r="AA5" s="29" t="n">
        <v>1</v>
      </c>
      <c r="AB5" s="29" t="n">
        <v>2</v>
      </c>
      <c r="AC5" s="26" t="n">
        <v>3000</v>
      </c>
      <c r="AD5" s="28" t="n">
        <v>120140</v>
      </c>
      <c r="AE5" s="27" t="s">
        <v>194</v>
      </c>
    </row>
    <row r="6" customFormat="false" ht="166.4" hidden="false" customHeight="false" outlineLevel="0" collapsed="false">
      <c r="A6" s="12" t="str">
        <f aca="false">B6&amp;" | "&amp;C6</f>
        <v>BOMAG | BW212 D-5 SL</v>
      </c>
      <c r="B6" s="26" t="s">
        <v>167</v>
      </c>
      <c r="C6" s="26" t="s">
        <v>195</v>
      </c>
      <c r="D6" s="26" t="s">
        <v>196</v>
      </c>
      <c r="E6" s="26" t="n">
        <v>11490</v>
      </c>
      <c r="F6" s="26" t="s">
        <v>188</v>
      </c>
      <c r="G6" s="26" t="n">
        <v>2.13</v>
      </c>
      <c r="H6" s="26" t="n">
        <v>132</v>
      </c>
      <c r="I6" s="26" t="s">
        <v>193</v>
      </c>
      <c r="J6" s="26" t="n">
        <v>32.4</v>
      </c>
      <c r="K6" s="26" t="n">
        <v>45</v>
      </c>
      <c r="L6" s="26" t="s">
        <v>189</v>
      </c>
      <c r="M6" s="27" t="s">
        <v>173</v>
      </c>
      <c r="N6" s="26" t="s">
        <v>174</v>
      </c>
      <c r="O6" s="27" t="s">
        <v>175</v>
      </c>
      <c r="P6" s="26"/>
      <c r="Q6" s="27" t="s">
        <v>176</v>
      </c>
      <c r="R6" s="27" t="s">
        <v>177</v>
      </c>
      <c r="S6" s="27" t="s">
        <v>178</v>
      </c>
      <c r="T6" s="27" t="s">
        <v>179</v>
      </c>
      <c r="U6" s="27" t="s">
        <v>180</v>
      </c>
      <c r="V6" s="27" t="s">
        <v>181</v>
      </c>
      <c r="W6" s="26" t="n">
        <v>60</v>
      </c>
      <c r="X6" s="26" t="s">
        <v>182</v>
      </c>
      <c r="Y6" s="26" t="n">
        <v>12.4</v>
      </c>
      <c r="Z6" s="28" t="n">
        <v>68684</v>
      </c>
      <c r="AA6" s="29" t="n">
        <v>1</v>
      </c>
      <c r="AB6" s="29" t="n">
        <v>2</v>
      </c>
      <c r="AC6" s="26" t="n">
        <v>3000</v>
      </c>
      <c r="AD6" s="28" t="n">
        <v>122324</v>
      </c>
      <c r="AE6" s="27" t="s">
        <v>197</v>
      </c>
    </row>
    <row r="7" customFormat="false" ht="166.4" hidden="false" customHeight="false" outlineLevel="0" collapsed="false">
      <c r="A7" s="12" t="str">
        <f aca="false">B7&amp;" | "&amp;C7</f>
        <v>BOMAG | BW213 D-5 SL</v>
      </c>
      <c r="B7" s="26" t="s">
        <v>167</v>
      </c>
      <c r="C7" s="26" t="s">
        <v>198</v>
      </c>
      <c r="D7" s="26" t="s">
        <v>199</v>
      </c>
      <c r="E7" s="26" t="n">
        <v>12320</v>
      </c>
      <c r="F7" s="26" t="s">
        <v>188</v>
      </c>
      <c r="G7" s="26" t="n">
        <v>2.13</v>
      </c>
      <c r="H7" s="26" t="n">
        <v>132</v>
      </c>
      <c r="I7" s="26" t="s">
        <v>193</v>
      </c>
      <c r="J7" s="26" t="n">
        <v>37.1</v>
      </c>
      <c r="K7" s="26" t="n">
        <v>45</v>
      </c>
      <c r="L7" s="26" t="s">
        <v>189</v>
      </c>
      <c r="M7" s="27" t="s">
        <v>173</v>
      </c>
      <c r="N7" s="26" t="s">
        <v>174</v>
      </c>
      <c r="O7" s="27" t="s">
        <v>175</v>
      </c>
      <c r="P7" s="26"/>
      <c r="Q7" s="27" t="s">
        <v>176</v>
      </c>
      <c r="R7" s="27" t="s">
        <v>177</v>
      </c>
      <c r="S7" s="27" t="s">
        <v>178</v>
      </c>
      <c r="T7" s="27" t="s">
        <v>179</v>
      </c>
      <c r="U7" s="27" t="s">
        <v>180</v>
      </c>
      <c r="V7" s="27" t="s">
        <v>181</v>
      </c>
      <c r="W7" s="26" t="n">
        <v>60</v>
      </c>
      <c r="X7" s="26" t="s">
        <v>182</v>
      </c>
      <c r="Y7" s="26" t="n">
        <v>12.4</v>
      </c>
      <c r="Z7" s="28" t="n">
        <v>72948</v>
      </c>
      <c r="AA7" s="29" t="n">
        <v>1</v>
      </c>
      <c r="AB7" s="29" t="n">
        <v>2</v>
      </c>
      <c r="AC7" s="26" t="n">
        <v>3000</v>
      </c>
      <c r="AD7" s="28" t="n">
        <v>126588</v>
      </c>
      <c r="AE7" s="27" t="s">
        <v>200</v>
      </c>
    </row>
    <row r="8" customFormat="false" ht="166.4" hidden="false" customHeight="false" outlineLevel="0" collapsed="false">
      <c r="A8" s="12" t="str">
        <f aca="false">B8&amp;" | "&amp;C8</f>
        <v>BOMAG | BW213 D-5 SL TCD</v>
      </c>
      <c r="B8" s="26" t="s">
        <v>167</v>
      </c>
      <c r="C8" s="26" t="s">
        <v>201</v>
      </c>
      <c r="D8" s="26" t="s">
        <v>199</v>
      </c>
      <c r="E8" s="26" t="n">
        <v>11960</v>
      </c>
      <c r="F8" s="26" t="s">
        <v>202</v>
      </c>
      <c r="G8" s="26" t="n">
        <v>2.13</v>
      </c>
      <c r="H8" s="26" t="n">
        <v>140</v>
      </c>
      <c r="I8" s="26" t="s">
        <v>203</v>
      </c>
      <c r="J8" s="26" t="n">
        <v>37</v>
      </c>
      <c r="K8" s="26" t="n">
        <v>45</v>
      </c>
      <c r="L8" s="26" t="s">
        <v>189</v>
      </c>
      <c r="M8" s="27" t="s">
        <v>173</v>
      </c>
      <c r="N8" s="26" t="s">
        <v>174</v>
      </c>
      <c r="O8" s="27" t="s">
        <v>175</v>
      </c>
      <c r="P8" s="26"/>
      <c r="Q8" s="27" t="s">
        <v>176</v>
      </c>
      <c r="R8" s="27" t="s">
        <v>177</v>
      </c>
      <c r="S8" s="27" t="s">
        <v>178</v>
      </c>
      <c r="T8" s="27" t="s">
        <v>179</v>
      </c>
      <c r="U8" s="27" t="s">
        <v>180</v>
      </c>
      <c r="V8" s="27" t="s">
        <v>181</v>
      </c>
      <c r="W8" s="26" t="n">
        <v>60</v>
      </c>
      <c r="X8" s="26" t="s">
        <v>182</v>
      </c>
      <c r="Y8" s="26" t="n">
        <v>12.4</v>
      </c>
      <c r="Z8" s="28" t="n">
        <v>72948</v>
      </c>
      <c r="AA8" s="29" t="n">
        <v>1</v>
      </c>
      <c r="AB8" s="29" t="n">
        <v>2</v>
      </c>
      <c r="AC8" s="26" t="n">
        <v>3000</v>
      </c>
      <c r="AD8" s="28" t="n">
        <v>126588</v>
      </c>
      <c r="AE8" s="26"/>
    </row>
    <row r="9" customFormat="false" ht="166.4" hidden="false" customHeight="false" outlineLevel="0" collapsed="false">
      <c r="A9" s="12" t="str">
        <f aca="false">B9&amp;" | "&amp;C9</f>
        <v>BOMAG | BW216 D-5 SL</v>
      </c>
      <c r="B9" s="26" t="s">
        <v>167</v>
      </c>
      <c r="C9" s="26" t="s">
        <v>204</v>
      </c>
      <c r="D9" s="26"/>
      <c r="E9" s="26" t="n">
        <v>14850</v>
      </c>
      <c r="F9" s="26" t="s">
        <v>205</v>
      </c>
      <c r="G9" s="26" t="n">
        <v>2.13</v>
      </c>
      <c r="H9" s="26" t="n">
        <v>162</v>
      </c>
      <c r="I9" s="26" t="s">
        <v>203</v>
      </c>
      <c r="J9" s="26" t="n">
        <v>50.2</v>
      </c>
      <c r="K9" s="26"/>
      <c r="L9" s="26" t="s">
        <v>206</v>
      </c>
      <c r="M9" s="27" t="s">
        <v>173</v>
      </c>
      <c r="N9" s="26" t="s">
        <v>174</v>
      </c>
      <c r="O9" s="27" t="s">
        <v>175</v>
      </c>
      <c r="P9" s="26"/>
      <c r="Q9" s="27" t="s">
        <v>176</v>
      </c>
      <c r="R9" s="27" t="s">
        <v>177</v>
      </c>
      <c r="S9" s="27" t="s">
        <v>178</v>
      </c>
      <c r="T9" s="27" t="s">
        <v>179</v>
      </c>
      <c r="U9" s="27" t="s">
        <v>180</v>
      </c>
      <c r="V9" s="27" t="s">
        <v>181</v>
      </c>
      <c r="W9" s="26"/>
      <c r="X9" s="26" t="s">
        <v>206</v>
      </c>
      <c r="Y9" s="26" t="n">
        <v>0</v>
      </c>
      <c r="Z9" s="28" t="n">
        <v>0</v>
      </c>
      <c r="AA9" s="29" t="n">
        <v>1</v>
      </c>
      <c r="AB9" s="29" t="n">
        <v>2</v>
      </c>
      <c r="AC9" s="26" t="n">
        <v>3000</v>
      </c>
      <c r="AD9" s="28" t="n">
        <v>0</v>
      </c>
      <c r="AE9" s="26"/>
    </row>
    <row r="10" customFormat="false" ht="166.4" hidden="false" customHeight="false" outlineLevel="0" collapsed="false">
      <c r="A10" s="12" t="str">
        <f aca="false">B10&amp;" | "&amp;C10</f>
        <v>BOMAG | BW219 D-5 PL</v>
      </c>
      <c r="B10" s="26" t="s">
        <v>167</v>
      </c>
      <c r="C10" s="26" t="s">
        <v>207</v>
      </c>
      <c r="D10" s="26"/>
      <c r="E10" s="26" t="n">
        <v>19400</v>
      </c>
      <c r="F10" s="26" t="s">
        <v>208</v>
      </c>
      <c r="G10" s="26" t="n">
        <v>2.13</v>
      </c>
      <c r="H10" s="26" t="n">
        <v>202</v>
      </c>
      <c r="I10" s="26" t="s">
        <v>209</v>
      </c>
      <c r="J10" s="26" t="n">
        <v>60.1</v>
      </c>
      <c r="K10" s="26"/>
      <c r="L10" s="26" t="s">
        <v>206</v>
      </c>
      <c r="M10" s="27" t="s">
        <v>173</v>
      </c>
      <c r="N10" s="26" t="s">
        <v>174</v>
      </c>
      <c r="O10" s="27" t="s">
        <v>175</v>
      </c>
      <c r="P10" s="26"/>
      <c r="Q10" s="27" t="s">
        <v>176</v>
      </c>
      <c r="R10" s="27" t="s">
        <v>177</v>
      </c>
      <c r="S10" s="27" t="s">
        <v>178</v>
      </c>
      <c r="T10" s="27" t="s">
        <v>179</v>
      </c>
      <c r="U10" s="27" t="s">
        <v>180</v>
      </c>
      <c r="V10" s="27" t="s">
        <v>181</v>
      </c>
      <c r="W10" s="26"/>
      <c r="X10" s="26" t="s">
        <v>206</v>
      </c>
      <c r="Y10" s="26" t="n">
        <v>0</v>
      </c>
      <c r="Z10" s="28" t="n">
        <v>0</v>
      </c>
      <c r="AA10" s="29" t="n">
        <v>1</v>
      </c>
      <c r="AB10" s="29" t="n">
        <v>2</v>
      </c>
      <c r="AC10" s="26" t="n">
        <v>3000</v>
      </c>
      <c r="AD10" s="28" t="n">
        <v>0</v>
      </c>
      <c r="AE10" s="26"/>
    </row>
    <row r="11" customFormat="false" ht="166.4" hidden="false" customHeight="false" outlineLevel="0" collapsed="false">
      <c r="A11" s="12" t="str">
        <f aca="false">B11&amp;" | "&amp;C11</f>
        <v>BOMAG | BW220 D-5 PL</v>
      </c>
      <c r="B11" s="26" t="s">
        <v>167</v>
      </c>
      <c r="C11" s="26" t="s">
        <v>210</v>
      </c>
      <c r="D11" s="26"/>
      <c r="E11" s="26" t="n">
        <v>20100</v>
      </c>
      <c r="F11" s="26" t="s">
        <v>208</v>
      </c>
      <c r="G11" s="26" t="n">
        <v>2.13</v>
      </c>
      <c r="H11" s="26" t="n">
        <v>202</v>
      </c>
      <c r="I11" s="26" t="s">
        <v>209</v>
      </c>
      <c r="J11" s="26" t="n">
        <v>61.8</v>
      </c>
      <c r="K11" s="26"/>
      <c r="L11" s="26" t="s">
        <v>206</v>
      </c>
      <c r="M11" s="27" t="s">
        <v>173</v>
      </c>
      <c r="N11" s="26" t="s">
        <v>174</v>
      </c>
      <c r="O11" s="27" t="s">
        <v>175</v>
      </c>
      <c r="P11" s="26"/>
      <c r="Q11" s="27" t="s">
        <v>176</v>
      </c>
      <c r="R11" s="27" t="s">
        <v>177</v>
      </c>
      <c r="S11" s="27" t="s">
        <v>178</v>
      </c>
      <c r="T11" s="27" t="s">
        <v>179</v>
      </c>
      <c r="U11" s="27" t="s">
        <v>180</v>
      </c>
      <c r="V11" s="27" t="s">
        <v>181</v>
      </c>
      <c r="W11" s="26"/>
      <c r="X11" s="26" t="s">
        <v>206</v>
      </c>
      <c r="Y11" s="26" t="n">
        <v>0</v>
      </c>
      <c r="Z11" s="28" t="n">
        <v>0</v>
      </c>
      <c r="AA11" s="29" t="n">
        <v>1</v>
      </c>
      <c r="AB11" s="29" t="n">
        <v>2</v>
      </c>
      <c r="AC11" s="26" t="n">
        <v>3000</v>
      </c>
      <c r="AD11" s="28" t="n">
        <v>0</v>
      </c>
      <c r="AE11" s="26"/>
    </row>
    <row r="12" customFormat="false" ht="52.2" hidden="false" customHeight="false" outlineLevel="0" collapsed="false">
      <c r="A12" s="12" t="str">
        <f aca="false">B12&amp;" | "&amp;C12</f>
        <v>SAKAI | SV521D</v>
      </c>
      <c r="B12" s="26" t="s">
        <v>211</v>
      </c>
      <c r="C12" s="26" t="s">
        <v>212</v>
      </c>
      <c r="D12" s="26"/>
      <c r="E12" s="26" t="n">
        <v>10720</v>
      </c>
      <c r="F12" s="26" t="s">
        <v>213</v>
      </c>
      <c r="G12" s="26" t="n">
        <v>2.3</v>
      </c>
      <c r="H12" s="26" t="n">
        <v>118</v>
      </c>
      <c r="I12" s="26" t="s">
        <v>214</v>
      </c>
      <c r="J12" s="26" t="n">
        <v>28</v>
      </c>
      <c r="K12" s="26"/>
      <c r="L12" s="26" t="s">
        <v>206</v>
      </c>
      <c r="M12" s="26" t="s">
        <v>215</v>
      </c>
      <c r="N12" s="26" t="s">
        <v>206</v>
      </c>
      <c r="O12" s="26"/>
      <c r="P12" s="26"/>
      <c r="Q12" s="27" t="s">
        <v>216</v>
      </c>
      <c r="R12" s="27" t="s">
        <v>217</v>
      </c>
      <c r="S12" s="26"/>
      <c r="T12" s="26"/>
      <c r="U12" s="26"/>
      <c r="V12" s="26"/>
      <c r="W12" s="26"/>
      <c r="X12" s="26" t="s">
        <v>206</v>
      </c>
      <c r="Y12" s="26" t="n">
        <v>0</v>
      </c>
      <c r="Z12" s="28" t="n">
        <v>0</v>
      </c>
      <c r="AA12" s="29" t="n">
        <v>1</v>
      </c>
      <c r="AB12" s="29" t="n">
        <v>2</v>
      </c>
      <c r="AC12" s="26" t="n">
        <v>3000</v>
      </c>
      <c r="AD12" s="28" t="n">
        <v>0</v>
      </c>
      <c r="AE12" s="26"/>
    </row>
    <row r="13" customFormat="false" ht="52.2" hidden="false" customHeight="false" outlineLevel="0" collapsed="false">
      <c r="A13" s="12" t="str">
        <f aca="false">B13&amp;" | "&amp;C13</f>
        <v>SAKAI | SV621D</v>
      </c>
      <c r="B13" s="26" t="s">
        <v>211</v>
      </c>
      <c r="C13" s="26" t="s">
        <v>218</v>
      </c>
      <c r="D13" s="26"/>
      <c r="E13" s="26" t="n">
        <v>13020</v>
      </c>
      <c r="F13" s="26" t="s">
        <v>213</v>
      </c>
      <c r="G13" s="26" t="n">
        <v>2.3</v>
      </c>
      <c r="H13" s="26" t="n">
        <v>131</v>
      </c>
      <c r="I13" s="26" t="s">
        <v>219</v>
      </c>
      <c r="J13" s="26" t="n">
        <v>34</v>
      </c>
      <c r="K13" s="26"/>
      <c r="L13" s="26" t="s">
        <v>206</v>
      </c>
      <c r="M13" s="26" t="s">
        <v>215</v>
      </c>
      <c r="N13" s="26" t="s">
        <v>206</v>
      </c>
      <c r="O13" s="26"/>
      <c r="P13" s="26"/>
      <c r="Q13" s="27" t="s">
        <v>220</v>
      </c>
      <c r="R13" s="27" t="s">
        <v>221</v>
      </c>
      <c r="S13" s="26"/>
      <c r="T13" s="26"/>
      <c r="U13" s="26"/>
      <c r="V13" s="26"/>
      <c r="W13" s="26"/>
      <c r="X13" s="26" t="s">
        <v>206</v>
      </c>
      <c r="Y13" s="26" t="n">
        <v>0</v>
      </c>
      <c r="Z13" s="28" t="n">
        <v>0</v>
      </c>
      <c r="AA13" s="29" t="n">
        <v>1</v>
      </c>
      <c r="AB13" s="29" t="n">
        <v>2</v>
      </c>
      <c r="AC13" s="26" t="n">
        <v>3000</v>
      </c>
      <c r="AD13" s="28" t="n">
        <v>0</v>
      </c>
      <c r="AE13" s="26"/>
    </row>
    <row r="14" customFormat="false" ht="52.2" hidden="false" customHeight="false" outlineLevel="0" collapsed="false">
      <c r="A14" s="12" t="str">
        <f aca="false">B14&amp;" | "&amp;C14</f>
        <v>SAKAI | SV700D</v>
      </c>
      <c r="B14" s="26" t="s">
        <v>211</v>
      </c>
      <c r="C14" s="26" t="s">
        <v>222</v>
      </c>
      <c r="D14" s="26"/>
      <c r="E14" s="26" t="n">
        <v>14950</v>
      </c>
      <c r="F14" s="26" t="s">
        <v>223</v>
      </c>
      <c r="G14" s="26" t="n">
        <v>2.13</v>
      </c>
      <c r="H14" s="26" t="n">
        <v>217</v>
      </c>
      <c r="I14" s="26" t="s">
        <v>224</v>
      </c>
      <c r="J14" s="26" t="n">
        <v>39.9</v>
      </c>
      <c r="K14" s="26"/>
      <c r="L14" s="26" t="s">
        <v>172</v>
      </c>
      <c r="M14" s="26" t="s">
        <v>215</v>
      </c>
      <c r="N14" s="26" t="s">
        <v>206</v>
      </c>
      <c r="O14" s="26"/>
      <c r="P14" s="26"/>
      <c r="Q14" s="27" t="s">
        <v>225</v>
      </c>
      <c r="R14" s="27" t="s">
        <v>226</v>
      </c>
      <c r="S14" s="26"/>
      <c r="T14" s="26"/>
      <c r="U14" s="26"/>
      <c r="V14" s="26"/>
      <c r="W14" s="26"/>
      <c r="X14" s="26" t="s">
        <v>206</v>
      </c>
      <c r="Y14" s="26" t="n">
        <v>0</v>
      </c>
      <c r="Z14" s="28" t="n">
        <v>0</v>
      </c>
      <c r="AA14" s="29" t="n">
        <v>1</v>
      </c>
      <c r="AB14" s="29" t="n">
        <v>2</v>
      </c>
      <c r="AC14" s="26" t="n">
        <v>3000</v>
      </c>
      <c r="AD14" s="28" t="n">
        <v>0</v>
      </c>
      <c r="AE14" s="26"/>
    </row>
    <row r="15" customFormat="false" ht="52.2" hidden="false" customHeight="false" outlineLevel="0" collapsed="false">
      <c r="A15" s="12" t="str">
        <f aca="false">B15&amp;" | "&amp;C15</f>
        <v>SAKAI | SV900-1</v>
      </c>
      <c r="B15" s="26" t="s">
        <v>211</v>
      </c>
      <c r="C15" s="26" t="s">
        <v>227</v>
      </c>
      <c r="D15" s="26"/>
      <c r="E15" s="26" t="n">
        <v>19350</v>
      </c>
      <c r="F15" s="26" t="s">
        <v>228</v>
      </c>
      <c r="G15" s="26" t="n">
        <v>2.13</v>
      </c>
      <c r="H15" s="26" t="n">
        <v>166</v>
      </c>
      <c r="I15" s="26" t="s">
        <v>229</v>
      </c>
      <c r="J15" s="26" t="n">
        <v>51.4</v>
      </c>
      <c r="K15" s="26"/>
      <c r="L15" s="26" t="s">
        <v>206</v>
      </c>
      <c r="M15" s="26" t="s">
        <v>215</v>
      </c>
      <c r="N15" s="26" t="s">
        <v>206</v>
      </c>
      <c r="O15" s="26"/>
      <c r="P15" s="26"/>
      <c r="Q15" s="27" t="s">
        <v>230</v>
      </c>
      <c r="R15" s="27" t="s">
        <v>231</v>
      </c>
      <c r="S15" s="26"/>
      <c r="T15" s="26"/>
      <c r="U15" s="26"/>
      <c r="V15" s="26"/>
      <c r="W15" s="26"/>
      <c r="X15" s="26" t="s">
        <v>206</v>
      </c>
      <c r="Y15" s="26" t="n">
        <v>0</v>
      </c>
      <c r="Z15" s="28" t="n">
        <v>0</v>
      </c>
      <c r="AA15" s="29" t="n">
        <v>1</v>
      </c>
      <c r="AB15" s="29" t="n">
        <v>2</v>
      </c>
      <c r="AC15" s="26" t="n">
        <v>3000</v>
      </c>
      <c r="AD15" s="28" t="n">
        <v>0</v>
      </c>
      <c r="AE15" s="26"/>
    </row>
    <row r="16" customFormat="false" ht="90.25" hidden="false" customHeight="false" outlineLevel="0" collapsed="false">
      <c r="A16" s="12" t="str">
        <f aca="false">B16&amp;" | "&amp;C16</f>
        <v>DYNAPAC | CA25 D-Rhino</v>
      </c>
      <c r="B16" s="26" t="s">
        <v>232</v>
      </c>
      <c r="C16" s="26" t="s">
        <v>233</v>
      </c>
      <c r="D16" s="26"/>
      <c r="E16" s="26" t="n">
        <v>10400</v>
      </c>
      <c r="F16" s="26" t="s">
        <v>234</v>
      </c>
      <c r="G16" s="26" t="n">
        <v>2.13</v>
      </c>
      <c r="H16" s="26" t="n">
        <v>130</v>
      </c>
      <c r="I16" s="26" t="s">
        <v>235</v>
      </c>
      <c r="J16" s="26" t="n">
        <v>51.4</v>
      </c>
      <c r="K16" s="26" t="n">
        <v>41</v>
      </c>
      <c r="L16" s="26" t="s">
        <v>236</v>
      </c>
      <c r="M16" s="27" t="s">
        <v>237</v>
      </c>
      <c r="N16" s="26" t="s">
        <v>238</v>
      </c>
      <c r="O16" s="27" t="s">
        <v>239</v>
      </c>
      <c r="P16" s="26"/>
      <c r="Q16" s="27" t="s">
        <v>240</v>
      </c>
      <c r="R16" s="27" t="s">
        <v>241</v>
      </c>
      <c r="S16" s="27" t="s">
        <v>242</v>
      </c>
      <c r="T16" s="27" t="s">
        <v>243</v>
      </c>
      <c r="U16" s="26"/>
      <c r="V16" s="27" t="s">
        <v>244</v>
      </c>
      <c r="W16" s="26" t="n">
        <v>55</v>
      </c>
      <c r="X16" s="26" t="s">
        <v>245</v>
      </c>
      <c r="Y16" s="26" t="n">
        <v>13.6</v>
      </c>
      <c r="Z16" s="28" t="n">
        <v>90000</v>
      </c>
      <c r="AA16" s="29" t="n">
        <v>1</v>
      </c>
      <c r="AB16" s="29" t="n">
        <v>2</v>
      </c>
      <c r="AC16" s="26" t="n">
        <v>3000</v>
      </c>
      <c r="AD16" s="28" t="n">
        <v>160200</v>
      </c>
      <c r="AE16" s="26"/>
    </row>
    <row r="17" customFormat="false" ht="90.25" hidden="false" customHeight="false" outlineLevel="0" collapsed="false">
      <c r="A17" s="12" t="str">
        <f aca="false">B17&amp;" | "&amp;C17</f>
        <v>DYNAPAC | CA35 D-Rhino</v>
      </c>
      <c r="B17" s="26" t="s">
        <v>232</v>
      </c>
      <c r="C17" s="26" t="s">
        <v>246</v>
      </c>
      <c r="D17" s="26"/>
      <c r="E17" s="26" t="n">
        <v>12200</v>
      </c>
      <c r="F17" s="26" t="s">
        <v>247</v>
      </c>
      <c r="G17" s="26" t="n">
        <v>2.13</v>
      </c>
      <c r="H17" s="26" t="n">
        <v>130</v>
      </c>
      <c r="I17" s="26" t="s">
        <v>248</v>
      </c>
      <c r="J17" s="26" t="n">
        <v>35</v>
      </c>
      <c r="K17" s="26" t="n">
        <v>46</v>
      </c>
      <c r="L17" s="26" t="s">
        <v>236</v>
      </c>
      <c r="M17" s="27" t="s">
        <v>237</v>
      </c>
      <c r="N17" s="26" t="s">
        <v>238</v>
      </c>
      <c r="O17" s="27" t="s">
        <v>239</v>
      </c>
      <c r="P17" s="26"/>
      <c r="Q17" s="27" t="s">
        <v>240</v>
      </c>
      <c r="R17" s="27" t="s">
        <v>241</v>
      </c>
      <c r="S17" s="27" t="s">
        <v>242</v>
      </c>
      <c r="T17" s="27" t="s">
        <v>243</v>
      </c>
      <c r="U17" s="26"/>
      <c r="V17" s="27" t="s">
        <v>244</v>
      </c>
      <c r="W17" s="26" t="n">
        <v>55</v>
      </c>
      <c r="X17" s="26" t="s">
        <v>245</v>
      </c>
      <c r="Y17" s="26" t="n">
        <v>13.6</v>
      </c>
      <c r="Z17" s="28" t="n">
        <v>90000</v>
      </c>
      <c r="AA17" s="29" t="n">
        <v>1</v>
      </c>
      <c r="AB17" s="29" t="n">
        <v>2</v>
      </c>
      <c r="AC17" s="26" t="n">
        <v>3000</v>
      </c>
      <c r="AD17" s="28" t="n">
        <v>160200</v>
      </c>
      <c r="AE17" s="26"/>
    </row>
    <row r="18" customFormat="false" ht="52.2" hidden="false" customHeight="false" outlineLevel="0" collapsed="false">
      <c r="A18" s="12" t="str">
        <f aca="false">B18&amp;" | "&amp;C18</f>
        <v>DYNAPAC | CA2500D</v>
      </c>
      <c r="B18" s="26" t="s">
        <v>232</v>
      </c>
      <c r="C18" s="26" t="s">
        <v>249</v>
      </c>
      <c r="D18" s="26"/>
      <c r="E18" s="26" t="n">
        <v>10000</v>
      </c>
      <c r="F18" s="26" t="s">
        <v>250</v>
      </c>
      <c r="G18" s="26" t="n">
        <v>2.13</v>
      </c>
      <c r="H18" s="26" t="n">
        <v>130</v>
      </c>
      <c r="I18" s="26" t="s">
        <v>251</v>
      </c>
      <c r="J18" s="26" t="n">
        <v>26</v>
      </c>
      <c r="K18" s="26"/>
      <c r="L18" s="26" t="s">
        <v>206</v>
      </c>
      <c r="M18" s="26" t="s">
        <v>215</v>
      </c>
      <c r="N18" s="26" t="s">
        <v>206</v>
      </c>
      <c r="O18" s="26"/>
      <c r="P18" s="26"/>
      <c r="Q18" s="27" t="s">
        <v>252</v>
      </c>
      <c r="R18" s="27" t="s">
        <v>253</v>
      </c>
      <c r="S18" s="26"/>
      <c r="T18" s="26"/>
      <c r="U18" s="26"/>
      <c r="V18" s="26"/>
      <c r="W18" s="26"/>
      <c r="X18" s="26" t="s">
        <v>206</v>
      </c>
      <c r="Y18" s="26" t="n">
        <v>0</v>
      </c>
      <c r="Z18" s="28" t="n">
        <v>0</v>
      </c>
      <c r="AA18" s="29" t="n">
        <v>1</v>
      </c>
      <c r="AB18" s="29" t="n">
        <v>2</v>
      </c>
      <c r="AC18" s="26" t="n">
        <v>3000</v>
      </c>
      <c r="AD18" s="28" t="n">
        <v>0</v>
      </c>
      <c r="AE18" s="26"/>
    </row>
    <row r="19" customFormat="false" ht="90.25" hidden="false" customHeight="false" outlineLevel="0" collapsed="false">
      <c r="A19" s="12" t="str">
        <f aca="false">B19&amp;" | "&amp;C19</f>
        <v>DYNAPAC | CA3500D</v>
      </c>
      <c r="B19" s="26" t="s">
        <v>232</v>
      </c>
      <c r="C19" s="26" t="s">
        <v>254</v>
      </c>
      <c r="D19" s="26"/>
      <c r="E19" s="26" t="n">
        <v>16000</v>
      </c>
      <c r="F19" s="26" t="s">
        <v>255</v>
      </c>
      <c r="G19" s="26" t="n">
        <v>2.13</v>
      </c>
      <c r="H19" s="26" t="n">
        <v>174</v>
      </c>
      <c r="I19" s="26" t="s">
        <v>256</v>
      </c>
      <c r="J19" s="26" t="n">
        <v>37.5</v>
      </c>
      <c r="K19" s="26" t="n">
        <v>46</v>
      </c>
      <c r="L19" s="26" t="s">
        <v>236</v>
      </c>
      <c r="M19" s="27" t="s">
        <v>237</v>
      </c>
      <c r="N19" s="26" t="s">
        <v>238</v>
      </c>
      <c r="O19" s="27" t="s">
        <v>239</v>
      </c>
      <c r="P19" s="26"/>
      <c r="Q19" s="27" t="s">
        <v>240</v>
      </c>
      <c r="R19" s="27" t="s">
        <v>241</v>
      </c>
      <c r="S19" s="27" t="s">
        <v>242</v>
      </c>
      <c r="T19" s="27" t="s">
        <v>243</v>
      </c>
      <c r="U19" s="26"/>
      <c r="V19" s="27" t="s">
        <v>244</v>
      </c>
      <c r="W19" s="26" t="n">
        <v>55</v>
      </c>
      <c r="X19" s="26" t="s">
        <v>245</v>
      </c>
      <c r="Y19" s="26" t="n">
        <v>13.6</v>
      </c>
      <c r="Z19" s="28" t="n">
        <v>90000</v>
      </c>
      <c r="AA19" s="29" t="n">
        <v>1</v>
      </c>
      <c r="AB19" s="29" t="n">
        <v>2</v>
      </c>
      <c r="AC19" s="26" t="n">
        <v>3000</v>
      </c>
      <c r="AD19" s="28" t="n">
        <v>160200</v>
      </c>
      <c r="AE19" s="26"/>
    </row>
    <row r="20" customFormat="false" ht="52.2" hidden="false" customHeight="false" outlineLevel="0" collapsed="false">
      <c r="A20" s="12" t="str">
        <f aca="false">B20&amp;" | "&amp;C20</f>
        <v>DYNAPAC | CA4500D</v>
      </c>
      <c r="B20" s="26" t="s">
        <v>232</v>
      </c>
      <c r="C20" s="26" t="s">
        <v>257</v>
      </c>
      <c r="D20" s="26"/>
      <c r="E20" s="26" t="n">
        <v>21000</v>
      </c>
      <c r="F20" s="26" t="s">
        <v>258</v>
      </c>
      <c r="G20" s="26" t="n">
        <v>2.13</v>
      </c>
      <c r="H20" s="26" t="n">
        <v>250</v>
      </c>
      <c r="I20" s="26" t="s">
        <v>259</v>
      </c>
      <c r="J20" s="26" t="n">
        <v>49.3</v>
      </c>
      <c r="K20" s="26"/>
      <c r="L20" s="26" t="s">
        <v>206</v>
      </c>
      <c r="M20" s="26" t="s">
        <v>215</v>
      </c>
      <c r="N20" s="26" t="s">
        <v>206</v>
      </c>
      <c r="O20" s="26"/>
      <c r="P20" s="26"/>
      <c r="Q20" s="27" t="s">
        <v>260</v>
      </c>
      <c r="R20" s="27" t="s">
        <v>261</v>
      </c>
      <c r="S20" s="26"/>
      <c r="T20" s="26"/>
      <c r="U20" s="26"/>
      <c r="V20" s="26"/>
      <c r="W20" s="26"/>
      <c r="X20" s="26" t="s">
        <v>206</v>
      </c>
      <c r="Y20" s="26" t="n">
        <v>0</v>
      </c>
      <c r="Z20" s="28" t="n">
        <v>0</v>
      </c>
      <c r="AA20" s="29" t="n">
        <v>1</v>
      </c>
      <c r="AB20" s="29" t="n">
        <v>2</v>
      </c>
      <c r="AC20" s="26" t="n">
        <v>3000</v>
      </c>
      <c r="AD20" s="28" t="n">
        <v>0</v>
      </c>
      <c r="AE20" s="26"/>
    </row>
    <row r="21" customFormat="false" ht="52.2" hidden="false" customHeight="false" outlineLevel="0" collapsed="false">
      <c r="A21" s="12" t="str">
        <f aca="false">B21&amp;" | "&amp;C21</f>
        <v>DYNAPAC REDLINE | DRS120D</v>
      </c>
      <c r="B21" s="26" t="s">
        <v>262</v>
      </c>
      <c r="C21" s="26" t="s">
        <v>263</v>
      </c>
      <c r="D21" s="26"/>
      <c r="E21" s="26" t="n">
        <v>11400</v>
      </c>
      <c r="F21" s="26" t="s">
        <v>264</v>
      </c>
      <c r="G21" s="26" t="n">
        <v>2.13</v>
      </c>
      <c r="H21" s="26" t="n">
        <v>105</v>
      </c>
      <c r="I21" s="26" t="s">
        <v>206</v>
      </c>
      <c r="J21" s="26" t="n">
        <v>32</v>
      </c>
      <c r="K21" s="26"/>
      <c r="L21" s="26" t="s">
        <v>172</v>
      </c>
      <c r="M21" s="26" t="s">
        <v>215</v>
      </c>
      <c r="N21" s="26" t="s">
        <v>206</v>
      </c>
      <c r="O21" s="26"/>
      <c r="P21" s="26"/>
      <c r="Q21" s="27" t="s">
        <v>265</v>
      </c>
      <c r="R21" s="27" t="s">
        <v>266</v>
      </c>
      <c r="S21" s="26"/>
      <c r="T21" s="26"/>
      <c r="U21" s="26"/>
      <c r="V21" s="26"/>
      <c r="W21" s="26"/>
      <c r="X21" s="26" t="s">
        <v>206</v>
      </c>
      <c r="Y21" s="26" t="n">
        <v>0</v>
      </c>
      <c r="Z21" s="28" t="n">
        <v>0</v>
      </c>
      <c r="AA21" s="29" t="n">
        <v>1</v>
      </c>
      <c r="AB21" s="29" t="n">
        <v>2</v>
      </c>
      <c r="AC21" s="26" t="n">
        <v>3000</v>
      </c>
      <c r="AD21" s="28" t="n">
        <v>0</v>
      </c>
      <c r="AE21" s="26"/>
    </row>
    <row r="22" customFormat="false" ht="115.65" hidden="false" customHeight="false" outlineLevel="0" collapsed="false">
      <c r="A22" s="12" t="str">
        <f aca="false">B22&amp;" | "&amp;C22</f>
        <v>HAMM | HC110</v>
      </c>
      <c r="B22" s="26" t="s">
        <v>267</v>
      </c>
      <c r="C22" s="26" t="s">
        <v>268</v>
      </c>
      <c r="D22" s="26"/>
      <c r="E22" s="26" t="n">
        <v>11765</v>
      </c>
      <c r="F22" s="26" t="s">
        <v>269</v>
      </c>
      <c r="G22" s="26" t="n">
        <v>2.14</v>
      </c>
      <c r="H22" s="26" t="n">
        <v>135.4</v>
      </c>
      <c r="I22" s="26" t="s">
        <v>270</v>
      </c>
      <c r="J22" s="26" t="n">
        <v>29.81</v>
      </c>
      <c r="K22" s="26" t="n">
        <v>58</v>
      </c>
      <c r="L22" s="26" t="s">
        <v>271</v>
      </c>
      <c r="M22" s="27" t="s">
        <v>272</v>
      </c>
      <c r="N22" s="26" t="s">
        <v>273</v>
      </c>
      <c r="O22" s="27" t="s">
        <v>274</v>
      </c>
      <c r="P22" s="26"/>
      <c r="Q22" s="27" t="s">
        <v>275</v>
      </c>
      <c r="R22" s="27" t="s">
        <v>276</v>
      </c>
      <c r="S22" s="27" t="s">
        <v>277</v>
      </c>
      <c r="T22" s="27" t="s">
        <v>278</v>
      </c>
      <c r="U22" s="27" t="s">
        <v>279</v>
      </c>
      <c r="V22" s="27" t="s">
        <v>280</v>
      </c>
      <c r="W22" s="26" t="n">
        <v>60</v>
      </c>
      <c r="X22" s="26" t="s">
        <v>281</v>
      </c>
      <c r="Y22" s="26" t="n">
        <v>13.6</v>
      </c>
      <c r="Z22" s="28" t="n">
        <v>91845.1</v>
      </c>
      <c r="AA22" s="29" t="n">
        <v>1</v>
      </c>
      <c r="AB22" s="29" t="n">
        <v>2</v>
      </c>
      <c r="AC22" s="26" t="n">
        <v>3000</v>
      </c>
      <c r="AD22" s="28" t="n">
        <v>149805.1</v>
      </c>
      <c r="AE22" s="26"/>
    </row>
    <row r="23" customFormat="false" ht="115.65" hidden="false" customHeight="false" outlineLevel="0" collapsed="false">
      <c r="A23" s="12" t="str">
        <f aca="false">B23&amp;" | "&amp;C23</f>
        <v>HAMM | HC119</v>
      </c>
      <c r="B23" s="26" t="s">
        <v>267</v>
      </c>
      <c r="C23" s="26" t="s">
        <v>282</v>
      </c>
      <c r="D23" s="26"/>
      <c r="E23" s="26" t="n">
        <v>11745</v>
      </c>
      <c r="F23" s="26" t="s">
        <v>250</v>
      </c>
      <c r="G23" s="26" t="n">
        <v>2.14</v>
      </c>
      <c r="H23" s="26" t="n">
        <v>121</v>
      </c>
      <c r="I23" s="26" t="s">
        <v>283</v>
      </c>
      <c r="J23" s="26" t="n">
        <v>29.1</v>
      </c>
      <c r="K23" s="26" t="n">
        <v>58</v>
      </c>
      <c r="L23" s="26" t="s">
        <v>271</v>
      </c>
      <c r="M23" s="27" t="s">
        <v>272</v>
      </c>
      <c r="N23" s="26" t="s">
        <v>273</v>
      </c>
      <c r="O23" s="27" t="s">
        <v>274</v>
      </c>
      <c r="P23" s="26"/>
      <c r="Q23" s="27" t="s">
        <v>275</v>
      </c>
      <c r="R23" s="27" t="s">
        <v>276</v>
      </c>
      <c r="S23" s="27" t="s">
        <v>277</v>
      </c>
      <c r="T23" s="27" t="s">
        <v>278</v>
      </c>
      <c r="U23" s="27" t="s">
        <v>279</v>
      </c>
      <c r="V23" s="27" t="s">
        <v>280</v>
      </c>
      <c r="W23" s="26" t="n">
        <v>60</v>
      </c>
      <c r="X23" s="26" t="s">
        <v>281</v>
      </c>
      <c r="Y23" s="26" t="n">
        <v>13.6</v>
      </c>
      <c r="Z23" s="28" t="n">
        <v>91845.1</v>
      </c>
      <c r="AA23" s="29" t="n">
        <v>1</v>
      </c>
      <c r="AB23" s="29" t="n">
        <v>2</v>
      </c>
      <c r="AC23" s="26" t="n">
        <v>3000</v>
      </c>
      <c r="AD23" s="28" t="n">
        <v>149805.1</v>
      </c>
      <c r="AE23" s="26"/>
    </row>
    <row r="24" customFormat="false" ht="52.2" hidden="false" customHeight="false" outlineLevel="0" collapsed="false">
      <c r="A24" s="12" t="str">
        <f aca="false">B24&amp;" | "&amp;C24</f>
        <v>HAMM | H13i</v>
      </c>
      <c r="B24" s="26" t="s">
        <v>267</v>
      </c>
      <c r="C24" s="26" t="s">
        <v>284</v>
      </c>
      <c r="D24" s="26"/>
      <c r="E24" s="26" t="n">
        <v>12600</v>
      </c>
      <c r="F24" s="26" t="s">
        <v>285</v>
      </c>
      <c r="G24" s="26" t="n">
        <v>2.13</v>
      </c>
      <c r="H24" s="26" t="n">
        <v>130</v>
      </c>
      <c r="I24" s="26" t="s">
        <v>286</v>
      </c>
      <c r="J24" s="26" t="n">
        <v>29.6</v>
      </c>
      <c r="K24" s="26"/>
      <c r="L24" s="26" t="s">
        <v>206</v>
      </c>
      <c r="M24" s="26" t="s">
        <v>215</v>
      </c>
      <c r="N24" s="26" t="s">
        <v>206</v>
      </c>
      <c r="O24" s="26"/>
      <c r="P24" s="26"/>
      <c r="Q24" s="27" t="s">
        <v>287</v>
      </c>
      <c r="R24" s="27" t="s">
        <v>288</v>
      </c>
      <c r="S24" s="26"/>
      <c r="T24" s="26"/>
      <c r="U24" s="26"/>
      <c r="V24" s="26"/>
      <c r="W24" s="26"/>
      <c r="X24" s="26" t="s">
        <v>206</v>
      </c>
      <c r="Y24" s="26" t="n">
        <v>0</v>
      </c>
      <c r="Z24" s="28" t="n">
        <v>0</v>
      </c>
      <c r="AA24" s="29" t="n">
        <v>1</v>
      </c>
      <c r="AB24" s="29" t="n">
        <v>2</v>
      </c>
      <c r="AC24" s="26" t="n">
        <v>3000</v>
      </c>
      <c r="AD24" s="28" t="n">
        <v>0</v>
      </c>
      <c r="AE24" s="26"/>
    </row>
    <row r="25" customFormat="false" ht="52.2" hidden="false" customHeight="false" outlineLevel="0" collapsed="false">
      <c r="A25" s="12" t="str">
        <f aca="false">B25&amp;" | "&amp;C25</f>
        <v>HAMM | H16i</v>
      </c>
      <c r="B25" s="26" t="s">
        <v>267</v>
      </c>
      <c r="C25" s="26" t="s">
        <v>289</v>
      </c>
      <c r="D25" s="26"/>
      <c r="E25" s="26" t="n">
        <v>16430</v>
      </c>
      <c r="F25" s="26" t="s">
        <v>290</v>
      </c>
      <c r="G25" s="26" t="n">
        <v>2.14</v>
      </c>
      <c r="H25" s="26" t="n">
        <v>168</v>
      </c>
      <c r="I25" s="26" t="s">
        <v>291</v>
      </c>
      <c r="J25" s="26" t="n">
        <v>38.4</v>
      </c>
      <c r="K25" s="26"/>
      <c r="L25" s="26" t="s">
        <v>172</v>
      </c>
      <c r="M25" s="26" t="s">
        <v>215</v>
      </c>
      <c r="N25" s="26" t="s">
        <v>206</v>
      </c>
      <c r="O25" s="26"/>
      <c r="P25" s="26"/>
      <c r="Q25" s="27" t="s">
        <v>292</v>
      </c>
      <c r="R25" s="27" t="s">
        <v>293</v>
      </c>
      <c r="S25" s="26"/>
      <c r="T25" s="26"/>
      <c r="U25" s="26"/>
      <c r="V25" s="26"/>
      <c r="W25" s="26"/>
      <c r="X25" s="26" t="s">
        <v>206</v>
      </c>
      <c r="Y25" s="26" t="n">
        <v>0</v>
      </c>
      <c r="Z25" s="28" t="n">
        <v>0</v>
      </c>
      <c r="AA25" s="29" t="n">
        <v>1</v>
      </c>
      <c r="AB25" s="29" t="n">
        <v>2</v>
      </c>
      <c r="AC25" s="26" t="n">
        <v>3000</v>
      </c>
      <c r="AD25" s="28" t="n">
        <v>0</v>
      </c>
      <c r="AE25" s="26"/>
    </row>
    <row r="26" customFormat="false" ht="52.2" hidden="false" customHeight="false" outlineLevel="0" collapsed="false">
      <c r="A26" s="12" t="str">
        <f aca="false">B26&amp;" | "&amp;C26</f>
        <v>HAMM | H18i</v>
      </c>
      <c r="B26" s="26" t="s">
        <v>267</v>
      </c>
      <c r="C26" s="26" t="s">
        <v>294</v>
      </c>
      <c r="D26" s="26"/>
      <c r="E26" s="26" t="n">
        <v>18000</v>
      </c>
      <c r="F26" s="26" t="s">
        <v>295</v>
      </c>
      <c r="G26" s="26" t="n">
        <v>2.14</v>
      </c>
      <c r="H26" s="26" t="n">
        <v>215</v>
      </c>
      <c r="I26" s="26" t="s">
        <v>296</v>
      </c>
      <c r="J26" s="26" t="n">
        <v>42.1</v>
      </c>
      <c r="K26" s="26"/>
      <c r="L26" s="26" t="s">
        <v>172</v>
      </c>
      <c r="M26" s="26" t="s">
        <v>215</v>
      </c>
      <c r="N26" s="26" t="s">
        <v>206</v>
      </c>
      <c r="O26" s="26"/>
      <c r="P26" s="26"/>
      <c r="Q26" s="27" t="s">
        <v>297</v>
      </c>
      <c r="R26" s="27" t="s">
        <v>298</v>
      </c>
      <c r="S26" s="26"/>
      <c r="T26" s="26"/>
      <c r="U26" s="26"/>
      <c r="V26" s="26"/>
      <c r="W26" s="26"/>
      <c r="X26" s="26" t="s">
        <v>206</v>
      </c>
      <c r="Y26" s="26" t="n">
        <v>0</v>
      </c>
      <c r="Z26" s="28" t="n">
        <v>0</v>
      </c>
      <c r="AA26" s="29" t="n">
        <v>1</v>
      </c>
      <c r="AB26" s="29" t="n">
        <v>2</v>
      </c>
      <c r="AC26" s="26" t="n">
        <v>3000</v>
      </c>
      <c r="AD26" s="28" t="n">
        <v>0</v>
      </c>
      <c r="AE26" s="26"/>
    </row>
    <row r="27" customFormat="false" ht="52.2" hidden="false" customHeight="false" outlineLevel="0" collapsed="false">
      <c r="A27" s="12" t="str">
        <f aca="false">B27&amp;" | "&amp;C27</f>
        <v>HAMM | H25i</v>
      </c>
      <c r="B27" s="26" t="s">
        <v>267</v>
      </c>
      <c r="C27" s="26" t="s">
        <v>299</v>
      </c>
      <c r="D27" s="26"/>
      <c r="E27" s="26" t="n">
        <v>24925</v>
      </c>
      <c r="F27" s="26" t="s">
        <v>300</v>
      </c>
      <c r="G27" s="26" t="n">
        <v>2.14</v>
      </c>
      <c r="H27" s="26" t="n">
        <v>215</v>
      </c>
      <c r="I27" s="26" t="s">
        <v>301</v>
      </c>
      <c r="J27" s="26" t="n">
        <v>58.3</v>
      </c>
      <c r="K27" s="26"/>
      <c r="L27" s="26" t="s">
        <v>206</v>
      </c>
      <c r="M27" s="26" t="s">
        <v>215</v>
      </c>
      <c r="N27" s="26" t="s">
        <v>206</v>
      </c>
      <c r="O27" s="26"/>
      <c r="P27" s="26"/>
      <c r="Q27" s="27" t="s">
        <v>302</v>
      </c>
      <c r="R27" s="27" t="s">
        <v>303</v>
      </c>
      <c r="S27" s="26"/>
      <c r="T27" s="26"/>
      <c r="U27" s="26"/>
      <c r="V27" s="26"/>
      <c r="W27" s="26"/>
      <c r="X27" s="26" t="s">
        <v>206</v>
      </c>
      <c r="Y27" s="26" t="n">
        <v>0</v>
      </c>
      <c r="Z27" s="28" t="n">
        <v>0</v>
      </c>
      <c r="AA27" s="29" t="n">
        <v>1</v>
      </c>
      <c r="AB27" s="29" t="n">
        <v>2</v>
      </c>
      <c r="AC27" s="26" t="n">
        <v>3000</v>
      </c>
      <c r="AD27" s="28" t="n">
        <v>0</v>
      </c>
      <c r="AE27" s="26"/>
    </row>
    <row r="28" customFormat="false" ht="153.7" hidden="false" customHeight="false" outlineLevel="0" collapsed="false">
      <c r="A28" s="12" t="str">
        <f aca="false">B28&amp;" | "&amp;C28</f>
        <v>CATERPILLAR | CS10GC</v>
      </c>
      <c r="B28" s="26" t="s">
        <v>304</v>
      </c>
      <c r="C28" s="26" t="s">
        <v>305</v>
      </c>
      <c r="D28" s="26"/>
      <c r="E28" s="26" t="n">
        <v>10492</v>
      </c>
      <c r="F28" s="26" t="s">
        <v>306</v>
      </c>
      <c r="G28" s="26" t="n">
        <v>2.13</v>
      </c>
      <c r="H28" s="26" t="n">
        <v>112.4</v>
      </c>
      <c r="I28" s="26" t="s">
        <v>307</v>
      </c>
      <c r="J28" s="26" t="n">
        <v>27.3</v>
      </c>
      <c r="K28" s="26" t="n">
        <v>55</v>
      </c>
      <c r="L28" s="26" t="s">
        <v>189</v>
      </c>
      <c r="M28" s="27" t="s">
        <v>308</v>
      </c>
      <c r="N28" s="26" t="s">
        <v>309</v>
      </c>
      <c r="O28" s="27" t="s">
        <v>310</v>
      </c>
      <c r="P28" s="26"/>
      <c r="Q28" s="27" t="s">
        <v>311</v>
      </c>
      <c r="R28" s="27" t="s">
        <v>312</v>
      </c>
      <c r="S28" s="27" t="s">
        <v>178</v>
      </c>
      <c r="T28" s="27" t="s">
        <v>313</v>
      </c>
      <c r="U28" s="27" t="s">
        <v>314</v>
      </c>
      <c r="V28" s="27" t="s">
        <v>315</v>
      </c>
      <c r="W28" s="26" t="n">
        <v>60</v>
      </c>
      <c r="X28" s="26" t="s">
        <v>316</v>
      </c>
      <c r="Y28" s="26" t="n">
        <v>14.5</v>
      </c>
      <c r="Z28" s="28" t="n">
        <v>105298.85</v>
      </c>
      <c r="AA28" s="29" t="n">
        <v>1</v>
      </c>
      <c r="AB28" s="29" t="n">
        <v>2</v>
      </c>
      <c r="AC28" s="26" t="n">
        <v>3000</v>
      </c>
      <c r="AD28" s="28" t="n">
        <v>179548.85</v>
      </c>
      <c r="AE28" s="26"/>
    </row>
    <row r="29" customFormat="false" ht="153.7" hidden="false" customHeight="false" outlineLevel="0" collapsed="false">
      <c r="A29" s="12" t="str">
        <f aca="false">B29&amp;" | "&amp;C29</f>
        <v>CATERPILLAR | CS11GC</v>
      </c>
      <c r="B29" s="26" t="s">
        <v>304</v>
      </c>
      <c r="C29" s="26" t="s">
        <v>317</v>
      </c>
      <c r="D29" s="26"/>
      <c r="E29" s="26" t="n">
        <v>10900</v>
      </c>
      <c r="F29" s="26" t="s">
        <v>318</v>
      </c>
      <c r="G29" s="26" t="n">
        <v>2.13</v>
      </c>
      <c r="H29" s="26" t="n">
        <v>74</v>
      </c>
      <c r="I29" s="26" t="s">
        <v>319</v>
      </c>
      <c r="J29" s="26" t="n">
        <v>25.6</v>
      </c>
      <c r="K29" s="26" t="n">
        <v>55</v>
      </c>
      <c r="L29" s="26" t="s">
        <v>189</v>
      </c>
      <c r="M29" s="27" t="s">
        <v>308</v>
      </c>
      <c r="N29" s="26" t="s">
        <v>309</v>
      </c>
      <c r="O29" s="27" t="s">
        <v>320</v>
      </c>
      <c r="P29" s="26"/>
      <c r="Q29" s="27" t="s">
        <v>321</v>
      </c>
      <c r="R29" s="27" t="s">
        <v>312</v>
      </c>
      <c r="S29" s="27" t="s">
        <v>178</v>
      </c>
      <c r="T29" s="27" t="s">
        <v>313</v>
      </c>
      <c r="U29" s="27" t="s">
        <v>314</v>
      </c>
      <c r="V29" s="27" t="s">
        <v>315</v>
      </c>
      <c r="W29" s="26" t="n">
        <v>60</v>
      </c>
      <c r="X29" s="26" t="s">
        <v>316</v>
      </c>
      <c r="Y29" s="26" t="n">
        <v>14.5</v>
      </c>
      <c r="Z29" s="28" t="n">
        <v>105298.85</v>
      </c>
      <c r="AA29" s="29" t="n">
        <v>1</v>
      </c>
      <c r="AB29" s="29" t="n">
        <v>2</v>
      </c>
      <c r="AC29" s="26" t="n">
        <v>3000</v>
      </c>
      <c r="AD29" s="28" t="n">
        <v>179548.85</v>
      </c>
      <c r="AE29" s="26"/>
    </row>
    <row r="30" customFormat="false" ht="90.25" hidden="false" customHeight="false" outlineLevel="0" collapsed="false">
      <c r="A30" s="12" t="str">
        <f aca="false">B30&amp;" | "&amp;C30</f>
        <v>CATERPILLAR | CS12</v>
      </c>
      <c r="B30" s="26" t="s">
        <v>304</v>
      </c>
      <c r="C30" s="26" t="s">
        <v>322</v>
      </c>
      <c r="D30" s="26"/>
      <c r="E30" s="26" t="n">
        <v>11743</v>
      </c>
      <c r="F30" s="26" t="s">
        <v>323</v>
      </c>
      <c r="G30" s="26" t="n">
        <v>2.13</v>
      </c>
      <c r="H30" s="26" t="n">
        <v>157.6</v>
      </c>
      <c r="I30" s="26" t="s">
        <v>324</v>
      </c>
      <c r="J30" s="26" t="n">
        <v>29.7</v>
      </c>
      <c r="K30" s="26" t="n">
        <v>57</v>
      </c>
      <c r="L30" s="26" t="s">
        <v>189</v>
      </c>
      <c r="M30" s="27" t="s">
        <v>325</v>
      </c>
      <c r="N30" s="26" t="s">
        <v>309</v>
      </c>
      <c r="O30" s="27" t="s">
        <v>310</v>
      </c>
      <c r="P30" s="26"/>
      <c r="Q30" s="27" t="s">
        <v>311</v>
      </c>
      <c r="R30" s="27" t="s">
        <v>326</v>
      </c>
      <c r="S30" s="27" t="s">
        <v>178</v>
      </c>
      <c r="T30" s="27" t="s">
        <v>313</v>
      </c>
      <c r="U30" s="26" t="s">
        <v>327</v>
      </c>
      <c r="V30" s="27" t="s">
        <v>315</v>
      </c>
      <c r="W30" s="26" t="n">
        <v>60</v>
      </c>
      <c r="X30" s="26" t="s">
        <v>316</v>
      </c>
      <c r="Y30" s="26" t="n">
        <v>14.5</v>
      </c>
      <c r="Z30" s="28" t="n">
        <v>105298.85</v>
      </c>
      <c r="AA30" s="29" t="n">
        <v>1</v>
      </c>
      <c r="AB30" s="29" t="n">
        <v>2</v>
      </c>
      <c r="AC30" s="26" t="n">
        <v>3000</v>
      </c>
      <c r="AD30" s="28" t="n">
        <v>179548.85</v>
      </c>
      <c r="AE30" s="26"/>
    </row>
    <row r="31" customFormat="false" ht="52.2" hidden="false" customHeight="false" outlineLevel="0" collapsed="false">
      <c r="A31" s="12" t="str">
        <f aca="false">B31&amp;" | "&amp;C31</f>
        <v>CATERPILLAR | CS13GC</v>
      </c>
      <c r="B31" s="26" t="s">
        <v>304</v>
      </c>
      <c r="C31" s="26" t="s">
        <v>328</v>
      </c>
      <c r="D31" s="26"/>
      <c r="E31" s="26" t="n">
        <v>12700</v>
      </c>
      <c r="F31" s="26" t="s">
        <v>318</v>
      </c>
      <c r="G31" s="26" t="n">
        <v>2.13</v>
      </c>
      <c r="H31" s="26" t="n">
        <v>100</v>
      </c>
      <c r="I31" s="26" t="s">
        <v>259</v>
      </c>
      <c r="J31" s="26" t="n">
        <v>30</v>
      </c>
      <c r="K31" s="26"/>
      <c r="L31" s="26" t="s">
        <v>172</v>
      </c>
      <c r="M31" s="26" t="s">
        <v>215</v>
      </c>
      <c r="N31" s="26" t="s">
        <v>206</v>
      </c>
      <c r="O31" s="26"/>
      <c r="P31" s="26"/>
      <c r="Q31" s="27" t="s">
        <v>329</v>
      </c>
      <c r="R31" s="27" t="s">
        <v>330</v>
      </c>
      <c r="S31" s="26"/>
      <c r="T31" s="26"/>
      <c r="U31" s="26"/>
      <c r="V31" s="26"/>
      <c r="W31" s="26"/>
      <c r="X31" s="26" t="s">
        <v>206</v>
      </c>
      <c r="Y31" s="26" t="n">
        <v>0</v>
      </c>
      <c r="Z31" s="28" t="n">
        <v>0</v>
      </c>
      <c r="AA31" s="29" t="n">
        <v>1</v>
      </c>
      <c r="AB31" s="29" t="n">
        <v>2</v>
      </c>
      <c r="AC31" s="26" t="n">
        <v>3000</v>
      </c>
      <c r="AD31" s="28" t="n">
        <v>0</v>
      </c>
      <c r="AE31" s="26"/>
    </row>
    <row r="32" customFormat="false" ht="102.95" hidden="false" customHeight="false" outlineLevel="0" collapsed="false">
      <c r="A32" s="12" t="str">
        <f aca="false">B32&amp;" | "&amp;C32</f>
        <v>XCMG | XS113E</v>
      </c>
      <c r="B32" s="26" t="s">
        <v>331</v>
      </c>
      <c r="C32" s="26" t="s">
        <v>332</v>
      </c>
      <c r="D32" s="26"/>
      <c r="E32" s="26" t="n">
        <v>10400</v>
      </c>
      <c r="F32" s="26" t="s">
        <v>333</v>
      </c>
      <c r="G32" s="26" t="n">
        <v>2.13</v>
      </c>
      <c r="H32" s="26" t="n">
        <v>110</v>
      </c>
      <c r="I32" s="26" t="s">
        <v>251</v>
      </c>
      <c r="J32" s="26" t="n">
        <v>0</v>
      </c>
      <c r="K32" s="26" t="n">
        <v>45</v>
      </c>
      <c r="L32" s="26" t="s">
        <v>334</v>
      </c>
      <c r="M32" s="27" t="s">
        <v>335</v>
      </c>
      <c r="N32" s="26" t="s">
        <v>206</v>
      </c>
      <c r="O32" s="26" t="s">
        <v>336</v>
      </c>
      <c r="P32" s="26"/>
      <c r="Q32" s="27" t="s">
        <v>337</v>
      </c>
      <c r="R32" s="27" t="s">
        <v>338</v>
      </c>
      <c r="S32" s="27" t="s">
        <v>339</v>
      </c>
      <c r="T32" s="27" t="s">
        <v>340</v>
      </c>
      <c r="U32" s="26" t="s">
        <v>206</v>
      </c>
      <c r="V32" s="27" t="s">
        <v>341</v>
      </c>
      <c r="W32" s="26" t="n">
        <v>50</v>
      </c>
      <c r="X32" s="26" t="s">
        <v>281</v>
      </c>
      <c r="Y32" s="26" t="n">
        <v>13.6</v>
      </c>
      <c r="Z32" s="28" t="n">
        <v>54786</v>
      </c>
      <c r="AA32" s="29" t="n">
        <v>1</v>
      </c>
      <c r="AB32" s="29" t="n">
        <v>2</v>
      </c>
      <c r="AC32" s="26" t="n">
        <v>3000</v>
      </c>
      <c r="AD32" s="28" t="n">
        <v>124986</v>
      </c>
      <c r="AE32" s="26"/>
    </row>
    <row r="33" customFormat="false" ht="102.95" hidden="false" customHeight="false" outlineLevel="0" collapsed="false">
      <c r="A33" s="12" t="str">
        <f aca="false">B33&amp;" | "&amp;C33</f>
        <v>XCMG | XS123</v>
      </c>
      <c r="B33" s="26" t="s">
        <v>331</v>
      </c>
      <c r="C33" s="26" t="s">
        <v>342</v>
      </c>
      <c r="D33" s="26"/>
      <c r="E33" s="26" t="n">
        <v>12000</v>
      </c>
      <c r="F33" s="26" t="s">
        <v>247</v>
      </c>
      <c r="G33" s="26" t="n">
        <v>2.13</v>
      </c>
      <c r="H33" s="26" t="n">
        <v>139</v>
      </c>
      <c r="I33" s="26" t="s">
        <v>235</v>
      </c>
      <c r="J33" s="26" t="n">
        <v>31.5</v>
      </c>
      <c r="K33" s="26" t="n">
        <v>45</v>
      </c>
      <c r="L33" s="26" t="s">
        <v>334</v>
      </c>
      <c r="M33" s="27" t="s">
        <v>335</v>
      </c>
      <c r="N33" s="26" t="s">
        <v>206</v>
      </c>
      <c r="O33" s="26" t="s">
        <v>336</v>
      </c>
      <c r="P33" s="26"/>
      <c r="Q33" s="27" t="s">
        <v>337</v>
      </c>
      <c r="R33" s="27" t="s">
        <v>338</v>
      </c>
      <c r="S33" s="27" t="s">
        <v>339</v>
      </c>
      <c r="T33" s="27" t="s">
        <v>340</v>
      </c>
      <c r="U33" s="26" t="s">
        <v>206</v>
      </c>
      <c r="V33" s="27" t="s">
        <v>341</v>
      </c>
      <c r="W33" s="26" t="n">
        <v>50</v>
      </c>
      <c r="X33" s="26" t="s">
        <v>281</v>
      </c>
      <c r="Y33" s="26" t="n">
        <v>13.6</v>
      </c>
      <c r="Z33" s="28" t="n">
        <v>54786</v>
      </c>
      <c r="AA33" s="29" t="n">
        <v>1</v>
      </c>
      <c r="AB33" s="29" t="n">
        <v>2</v>
      </c>
      <c r="AC33" s="26" t="n">
        <v>3000</v>
      </c>
      <c r="AD33" s="28" t="n">
        <v>124986</v>
      </c>
      <c r="AE33" s="26"/>
    </row>
    <row r="34" customFormat="false" ht="52.2" hidden="false" customHeight="false" outlineLevel="0" collapsed="false">
      <c r="A34" s="12" t="str">
        <f aca="false">B34&amp;" | "&amp;C34</f>
        <v>XCMG | XS143J</v>
      </c>
      <c r="B34" s="26" t="s">
        <v>331</v>
      </c>
      <c r="C34" s="26" t="s">
        <v>343</v>
      </c>
      <c r="D34" s="26"/>
      <c r="E34" s="26" t="n">
        <v>14000</v>
      </c>
      <c r="F34" s="26" t="s">
        <v>344</v>
      </c>
      <c r="G34" s="26" t="n">
        <v>2.13</v>
      </c>
      <c r="H34" s="26" t="n">
        <v>150</v>
      </c>
      <c r="I34" s="26" t="s">
        <v>345</v>
      </c>
      <c r="J34" s="26" t="n">
        <v>0</v>
      </c>
      <c r="K34" s="26"/>
      <c r="L34" s="26" t="s">
        <v>172</v>
      </c>
      <c r="M34" s="26" t="s">
        <v>215</v>
      </c>
      <c r="N34" s="26" t="s">
        <v>206</v>
      </c>
      <c r="O34" s="26"/>
      <c r="P34" s="26"/>
      <c r="Q34" s="27" t="s">
        <v>346</v>
      </c>
      <c r="R34" s="27" t="s">
        <v>347</v>
      </c>
      <c r="S34" s="26"/>
      <c r="T34" s="26"/>
      <c r="U34" s="26"/>
      <c r="V34" s="26"/>
      <c r="W34" s="26"/>
      <c r="X34" s="26" t="s">
        <v>206</v>
      </c>
      <c r="Y34" s="26" t="n">
        <v>0</v>
      </c>
      <c r="Z34" s="28" t="n">
        <v>0</v>
      </c>
      <c r="AA34" s="29" t="n">
        <v>1</v>
      </c>
      <c r="AB34" s="29" t="n">
        <v>2</v>
      </c>
      <c r="AC34" s="26" t="n">
        <v>3000</v>
      </c>
      <c r="AD34" s="28" t="n">
        <v>0</v>
      </c>
      <c r="AE34" s="26"/>
    </row>
    <row r="35" customFormat="false" ht="52.2" hidden="false" customHeight="false" outlineLevel="0" collapsed="false">
      <c r="A35" s="12" t="str">
        <f aca="false">B35&amp;" | "&amp;C35</f>
        <v>XCMG | XS162J</v>
      </c>
      <c r="B35" s="26" t="s">
        <v>331</v>
      </c>
      <c r="C35" s="26" t="s">
        <v>348</v>
      </c>
      <c r="D35" s="26"/>
      <c r="E35" s="26" t="n">
        <v>16000</v>
      </c>
      <c r="F35" s="26" t="s">
        <v>344</v>
      </c>
      <c r="G35" s="26" t="n">
        <v>2.13</v>
      </c>
      <c r="H35" s="26" t="n">
        <v>161</v>
      </c>
      <c r="I35" s="26" t="s">
        <v>256</v>
      </c>
      <c r="J35" s="26" t="n">
        <v>0</v>
      </c>
      <c r="K35" s="26"/>
      <c r="L35" s="26" t="s">
        <v>206</v>
      </c>
      <c r="M35" s="26" t="s">
        <v>215</v>
      </c>
      <c r="N35" s="26" t="s">
        <v>206</v>
      </c>
      <c r="O35" s="26"/>
      <c r="P35" s="26"/>
      <c r="Q35" s="27" t="s">
        <v>349</v>
      </c>
      <c r="R35" s="27" t="s">
        <v>350</v>
      </c>
      <c r="S35" s="26"/>
      <c r="T35" s="26"/>
      <c r="U35" s="26"/>
      <c r="V35" s="26"/>
      <c r="W35" s="26"/>
      <c r="X35" s="26" t="s">
        <v>206</v>
      </c>
      <c r="Y35" s="26" t="n">
        <v>0</v>
      </c>
      <c r="Z35" s="28" t="n">
        <v>0</v>
      </c>
      <c r="AA35" s="29" t="n">
        <v>1</v>
      </c>
      <c r="AB35" s="29" t="n">
        <v>2</v>
      </c>
      <c r="AC35" s="26" t="n">
        <v>3000</v>
      </c>
      <c r="AD35" s="28" t="n">
        <v>0</v>
      </c>
      <c r="AE35" s="26"/>
    </row>
    <row r="36" customFormat="false" ht="52.2" hidden="false" customHeight="false" outlineLevel="0" collapsed="false">
      <c r="A36" s="12" t="str">
        <f aca="false">B36&amp;" | "&amp;C36</f>
        <v>XCMG | XS182</v>
      </c>
      <c r="B36" s="26" t="s">
        <v>331</v>
      </c>
      <c r="C36" s="26" t="s">
        <v>351</v>
      </c>
      <c r="D36" s="26"/>
      <c r="E36" s="26" t="n">
        <v>18000</v>
      </c>
      <c r="F36" s="26" t="s">
        <v>344</v>
      </c>
      <c r="G36" s="26" t="n">
        <v>2.13</v>
      </c>
      <c r="H36" s="26" t="n">
        <v>174</v>
      </c>
      <c r="I36" s="26" t="s">
        <v>352</v>
      </c>
      <c r="J36" s="26" t="n">
        <v>53.9</v>
      </c>
      <c r="K36" s="26"/>
      <c r="L36" s="26" t="s">
        <v>206</v>
      </c>
      <c r="M36" s="26" t="s">
        <v>215</v>
      </c>
      <c r="N36" s="26" t="s">
        <v>206</v>
      </c>
      <c r="O36" s="26"/>
      <c r="P36" s="26"/>
      <c r="Q36" s="27" t="s">
        <v>353</v>
      </c>
      <c r="R36" s="27" t="s">
        <v>354</v>
      </c>
      <c r="S36" s="26"/>
      <c r="T36" s="26"/>
      <c r="U36" s="26"/>
      <c r="V36" s="26"/>
      <c r="W36" s="26"/>
      <c r="X36" s="26" t="s">
        <v>206</v>
      </c>
      <c r="Y36" s="26" t="n">
        <v>0</v>
      </c>
      <c r="Z36" s="28" t="n">
        <v>0</v>
      </c>
      <c r="AA36" s="29" t="n">
        <v>1</v>
      </c>
      <c r="AB36" s="29" t="n">
        <v>2</v>
      </c>
      <c r="AC36" s="26" t="n">
        <v>3000</v>
      </c>
      <c r="AD36" s="28" t="n">
        <v>0</v>
      </c>
      <c r="AE36" s="26"/>
    </row>
    <row r="37" customFormat="false" ht="52.2" hidden="false" customHeight="false" outlineLevel="0" collapsed="false">
      <c r="A37" s="12" t="str">
        <f aca="false">B37&amp;" | "&amp;C37</f>
        <v>XCMG | XS203J</v>
      </c>
      <c r="B37" s="26" t="s">
        <v>331</v>
      </c>
      <c r="C37" s="26" t="s">
        <v>355</v>
      </c>
      <c r="D37" s="26"/>
      <c r="E37" s="26" t="n">
        <v>20000</v>
      </c>
      <c r="F37" s="26" t="s">
        <v>255</v>
      </c>
      <c r="G37" s="26" t="n">
        <v>2.13</v>
      </c>
      <c r="H37" s="26" t="n">
        <v>200</v>
      </c>
      <c r="I37" s="26" t="s">
        <v>356</v>
      </c>
      <c r="J37" s="26" t="n">
        <v>0</v>
      </c>
      <c r="K37" s="26"/>
      <c r="L37" s="26" t="s">
        <v>206</v>
      </c>
      <c r="M37" s="26" t="s">
        <v>215</v>
      </c>
      <c r="N37" s="26" t="s">
        <v>206</v>
      </c>
      <c r="O37" s="26"/>
      <c r="P37" s="26"/>
      <c r="Q37" s="27" t="s">
        <v>357</v>
      </c>
      <c r="R37" s="27" t="s">
        <v>358</v>
      </c>
      <c r="S37" s="26"/>
      <c r="T37" s="26"/>
      <c r="U37" s="26"/>
      <c r="V37" s="26"/>
      <c r="W37" s="26"/>
      <c r="X37" s="26" t="s">
        <v>206</v>
      </c>
      <c r="Y37" s="26" t="n">
        <v>0</v>
      </c>
      <c r="Z37" s="28" t="n">
        <v>0</v>
      </c>
      <c r="AA37" s="29" t="n">
        <v>1</v>
      </c>
      <c r="AB37" s="29" t="n">
        <v>2</v>
      </c>
      <c r="AC37" s="26" t="n">
        <v>3000</v>
      </c>
      <c r="AD37" s="28" t="n">
        <v>0</v>
      </c>
      <c r="AE37" s="26"/>
    </row>
    <row r="38" customFormat="false" ht="52.2" hidden="false" customHeight="false" outlineLevel="0" collapsed="false">
      <c r="A38" s="12" t="str">
        <f aca="false">B38&amp;" | "&amp;C38</f>
        <v>SANY | SSR120C-8</v>
      </c>
      <c r="B38" s="26" t="s">
        <v>359</v>
      </c>
      <c r="C38" s="26" t="s">
        <v>360</v>
      </c>
      <c r="D38" s="26"/>
      <c r="E38" s="26" t="n">
        <v>11580</v>
      </c>
      <c r="F38" s="26" t="s">
        <v>250</v>
      </c>
      <c r="G38" s="26" t="n">
        <v>2.13</v>
      </c>
      <c r="H38" s="26" t="n">
        <v>145</v>
      </c>
      <c r="I38" s="26" t="s">
        <v>251</v>
      </c>
      <c r="J38" s="26" t="n">
        <v>0</v>
      </c>
      <c r="K38" s="26"/>
      <c r="L38" s="26" t="s">
        <v>172</v>
      </c>
      <c r="M38" s="26" t="s">
        <v>215</v>
      </c>
      <c r="N38" s="26" t="s">
        <v>206</v>
      </c>
      <c r="O38" s="26"/>
      <c r="P38" s="26"/>
      <c r="Q38" s="27" t="s">
        <v>361</v>
      </c>
      <c r="R38" s="27" t="s">
        <v>362</v>
      </c>
      <c r="S38" s="26"/>
      <c r="T38" s="26"/>
      <c r="U38" s="26"/>
      <c r="V38" s="26"/>
      <c r="W38" s="26"/>
      <c r="X38" s="26" t="s">
        <v>206</v>
      </c>
      <c r="Y38" s="26" t="n">
        <v>0</v>
      </c>
      <c r="Z38" s="28" t="n">
        <v>0</v>
      </c>
      <c r="AA38" s="29" t="n">
        <v>1</v>
      </c>
      <c r="AB38" s="29" t="n">
        <v>2</v>
      </c>
      <c r="AC38" s="26" t="n">
        <v>3000</v>
      </c>
      <c r="AD38" s="28" t="n">
        <v>0</v>
      </c>
      <c r="AE38" s="26"/>
    </row>
    <row r="39" customFormat="false" ht="52.2" hidden="false" customHeight="false" outlineLevel="0" collapsed="false">
      <c r="A39" s="12" t="str">
        <f aca="false">B39&amp;" | "&amp;C39</f>
        <v>SANY | SSR120C-10</v>
      </c>
      <c r="B39" s="26" t="s">
        <v>359</v>
      </c>
      <c r="C39" s="26" t="s">
        <v>363</v>
      </c>
      <c r="D39" s="26"/>
      <c r="E39" s="26" t="n">
        <v>12000</v>
      </c>
      <c r="F39" s="26" t="s">
        <v>364</v>
      </c>
      <c r="G39" s="26" t="n">
        <v>2.13</v>
      </c>
      <c r="H39" s="26" t="n">
        <v>130</v>
      </c>
      <c r="I39" s="26" t="s">
        <v>251</v>
      </c>
      <c r="J39" s="26" t="n">
        <v>0</v>
      </c>
      <c r="K39" s="26"/>
      <c r="L39" s="26" t="s">
        <v>172</v>
      </c>
      <c r="M39" s="26" t="s">
        <v>215</v>
      </c>
      <c r="N39" s="26" t="s">
        <v>206</v>
      </c>
      <c r="O39" s="26"/>
      <c r="P39" s="26"/>
      <c r="Q39" s="27" t="s">
        <v>365</v>
      </c>
      <c r="R39" s="27" t="s">
        <v>366</v>
      </c>
      <c r="S39" s="26"/>
      <c r="T39" s="26"/>
      <c r="U39" s="26"/>
      <c r="V39" s="26"/>
      <c r="W39" s="26"/>
      <c r="X39" s="26" t="s">
        <v>206</v>
      </c>
      <c r="Y39" s="26" t="n">
        <v>0</v>
      </c>
      <c r="Z39" s="28" t="n">
        <v>0</v>
      </c>
      <c r="AA39" s="29" t="n">
        <v>1</v>
      </c>
      <c r="AB39" s="29" t="n">
        <v>2</v>
      </c>
      <c r="AC39" s="26" t="n">
        <v>3000</v>
      </c>
      <c r="AD39" s="28" t="n">
        <v>0</v>
      </c>
      <c r="AE39" s="26"/>
    </row>
    <row r="40" customFormat="false" ht="90.25" hidden="false" customHeight="false" outlineLevel="0" collapsed="false">
      <c r="A40" s="12" t="str">
        <f aca="false">B40&amp;" | "&amp;C40</f>
        <v>SANY | SSR120C-10S</v>
      </c>
      <c r="B40" s="26" t="s">
        <v>359</v>
      </c>
      <c r="C40" s="26" t="s">
        <v>367</v>
      </c>
      <c r="D40" s="26"/>
      <c r="E40" s="26" t="n">
        <v>12400</v>
      </c>
      <c r="F40" s="26" t="s">
        <v>368</v>
      </c>
      <c r="G40" s="26" t="n">
        <v>2.13</v>
      </c>
      <c r="H40" s="26" t="n">
        <v>110</v>
      </c>
      <c r="I40" s="26" t="s">
        <v>235</v>
      </c>
      <c r="J40" s="26" t="n">
        <v>33.2</v>
      </c>
      <c r="K40" s="26" t="n">
        <v>65</v>
      </c>
      <c r="L40" s="26" t="s">
        <v>369</v>
      </c>
      <c r="M40" s="27" t="s">
        <v>335</v>
      </c>
      <c r="N40" s="26" t="s">
        <v>206</v>
      </c>
      <c r="O40" s="27" t="s">
        <v>370</v>
      </c>
      <c r="P40" s="26"/>
      <c r="Q40" s="27" t="s">
        <v>371</v>
      </c>
      <c r="R40" s="27" t="s">
        <v>372</v>
      </c>
      <c r="S40" s="27" t="s">
        <v>373</v>
      </c>
      <c r="T40" s="27" t="s">
        <v>374</v>
      </c>
      <c r="U40" s="27" t="s">
        <v>375</v>
      </c>
      <c r="V40" s="27" t="s">
        <v>376</v>
      </c>
      <c r="W40" s="26" t="n">
        <v>60</v>
      </c>
      <c r="X40" s="26" t="s">
        <v>377</v>
      </c>
      <c r="Y40" s="26" t="n">
        <v>15.3</v>
      </c>
      <c r="Z40" s="28" t="n">
        <v>56392</v>
      </c>
      <c r="AA40" s="29" t="n">
        <v>1</v>
      </c>
      <c r="AB40" s="29" t="n">
        <v>2</v>
      </c>
      <c r="AC40" s="26" t="n">
        <v>3000</v>
      </c>
      <c r="AD40" s="28" t="n">
        <v>134242</v>
      </c>
      <c r="AE40" s="26"/>
    </row>
    <row r="41" customFormat="false" ht="52.2" hidden="false" customHeight="false" outlineLevel="0" collapsed="false">
      <c r="A41" s="12" t="str">
        <f aca="false">B41&amp;" | "&amp;C41</f>
        <v>SHANTUI | SR16</v>
      </c>
      <c r="B41" s="26" t="s">
        <v>378</v>
      </c>
      <c r="C41" s="26" t="s">
        <v>379</v>
      </c>
      <c r="D41" s="26"/>
      <c r="E41" s="26" t="n">
        <v>16000</v>
      </c>
      <c r="F41" s="26" t="s">
        <v>255</v>
      </c>
      <c r="G41" s="26" t="n">
        <v>2</v>
      </c>
      <c r="H41" s="26" t="n">
        <v>168</v>
      </c>
      <c r="I41" s="26" t="s">
        <v>380</v>
      </c>
      <c r="J41" s="26" t="n">
        <v>0</v>
      </c>
      <c r="K41" s="26"/>
      <c r="L41" s="26" t="s">
        <v>172</v>
      </c>
      <c r="M41" s="26" t="s">
        <v>215</v>
      </c>
      <c r="N41" s="26" t="s">
        <v>206</v>
      </c>
      <c r="O41" s="26"/>
      <c r="P41" s="26"/>
      <c r="Q41" s="27" t="s">
        <v>381</v>
      </c>
      <c r="R41" s="27" t="s">
        <v>382</v>
      </c>
      <c r="S41" s="26"/>
      <c r="T41" s="26"/>
      <c r="U41" s="26"/>
      <c r="V41" s="26"/>
      <c r="W41" s="26"/>
      <c r="X41" s="26" t="s">
        <v>206</v>
      </c>
      <c r="Y41" s="26" t="n">
        <v>0</v>
      </c>
      <c r="Z41" s="28" t="n">
        <v>0</v>
      </c>
      <c r="AA41" s="29" t="n">
        <v>1</v>
      </c>
      <c r="AB41" s="29" t="n">
        <v>2</v>
      </c>
      <c r="AC41" s="26" t="n">
        <v>3000</v>
      </c>
      <c r="AD41" s="28" t="n">
        <v>0</v>
      </c>
      <c r="AE41" s="26"/>
    </row>
    <row r="42" customFormat="false" ht="52.2" hidden="false" customHeight="false" outlineLevel="0" collapsed="false">
      <c r="A42" s="12" t="str">
        <f aca="false">B42&amp;" | "&amp;C42</f>
        <v>SHANTUI | SR22</v>
      </c>
      <c r="B42" s="26" t="s">
        <v>378</v>
      </c>
      <c r="C42" s="26" t="s">
        <v>383</v>
      </c>
      <c r="D42" s="26"/>
      <c r="E42" s="26" t="n">
        <v>22000</v>
      </c>
      <c r="F42" s="26" t="s">
        <v>258</v>
      </c>
      <c r="G42" s="26" t="n">
        <v>2.13</v>
      </c>
      <c r="H42" s="26" t="n">
        <v>236</v>
      </c>
      <c r="I42" s="26" t="s">
        <v>384</v>
      </c>
      <c r="J42" s="26" t="n">
        <v>0</v>
      </c>
      <c r="K42" s="26"/>
      <c r="L42" s="26" t="s">
        <v>172</v>
      </c>
      <c r="M42" s="26" t="s">
        <v>215</v>
      </c>
      <c r="N42" s="26" t="s">
        <v>206</v>
      </c>
      <c r="O42" s="26"/>
      <c r="P42" s="26"/>
      <c r="Q42" s="27" t="s">
        <v>385</v>
      </c>
      <c r="R42" s="27" t="s">
        <v>386</v>
      </c>
      <c r="S42" s="26"/>
      <c r="T42" s="26"/>
      <c r="U42" s="26"/>
      <c r="V42" s="26"/>
      <c r="W42" s="26"/>
      <c r="X42" s="26" t="s">
        <v>206</v>
      </c>
      <c r="Y42" s="26" t="n">
        <v>0</v>
      </c>
      <c r="Z42" s="28" t="n">
        <v>0</v>
      </c>
      <c r="AA42" s="29" t="n">
        <v>1</v>
      </c>
      <c r="AB42" s="29" t="n">
        <v>2</v>
      </c>
      <c r="AC42" s="26" t="n">
        <v>3000</v>
      </c>
      <c r="AD42" s="28" t="n">
        <v>0</v>
      </c>
      <c r="AE42" s="26"/>
    </row>
    <row r="43" customFormat="false" ht="77.6" hidden="false" customHeight="false" outlineLevel="0" collapsed="false">
      <c r="A43" s="12" t="str">
        <f aca="false">B43&amp;" | "&amp;C43</f>
        <v>JCB | 116D</v>
      </c>
      <c r="B43" s="26" t="s">
        <v>387</v>
      </c>
      <c r="C43" s="26" t="s">
        <v>388</v>
      </c>
      <c r="D43" s="26"/>
      <c r="E43" s="26" t="n">
        <v>11560</v>
      </c>
      <c r="F43" s="26" t="s">
        <v>389</v>
      </c>
      <c r="G43" s="26" t="n">
        <v>2.1</v>
      </c>
      <c r="H43" s="26" t="n">
        <v>114</v>
      </c>
      <c r="I43" s="26" t="s">
        <v>390</v>
      </c>
      <c r="J43" s="26" t="n">
        <v>31.8</v>
      </c>
      <c r="K43" s="26" t="n">
        <v>55</v>
      </c>
      <c r="L43" s="26" t="s">
        <v>172</v>
      </c>
      <c r="M43" s="27" t="s">
        <v>391</v>
      </c>
      <c r="N43" s="26" t="s">
        <v>206</v>
      </c>
      <c r="O43" s="27" t="s">
        <v>392</v>
      </c>
      <c r="P43" s="26"/>
      <c r="Q43" s="27" t="s">
        <v>337</v>
      </c>
      <c r="R43" s="27" t="s">
        <v>393</v>
      </c>
      <c r="S43" s="26" t="s">
        <v>206</v>
      </c>
      <c r="T43" s="27" t="s">
        <v>394</v>
      </c>
      <c r="U43" s="26" t="s">
        <v>206</v>
      </c>
      <c r="V43" s="27" t="s">
        <v>395</v>
      </c>
      <c r="W43" s="26" t="n">
        <v>55</v>
      </c>
      <c r="X43" s="26" t="s">
        <v>396</v>
      </c>
      <c r="Y43" s="26" t="n">
        <v>13</v>
      </c>
      <c r="Z43" s="28" t="n">
        <v>84076</v>
      </c>
      <c r="AA43" s="29" t="n">
        <v>1</v>
      </c>
      <c r="AB43" s="29" t="n">
        <v>2</v>
      </c>
      <c r="AC43" s="26" t="n">
        <v>3000</v>
      </c>
      <c r="AD43" s="28" t="n">
        <v>151576</v>
      </c>
      <c r="AE43" s="26"/>
    </row>
    <row r="44" customFormat="false" ht="77.6" hidden="false" customHeight="false" outlineLevel="0" collapsed="false">
      <c r="A44" s="12" t="str">
        <f aca="false">B44&amp;" | "&amp;C44</f>
        <v>JCB | VM115</v>
      </c>
      <c r="B44" s="26" t="s">
        <v>387</v>
      </c>
      <c r="C44" s="26" t="s">
        <v>397</v>
      </c>
      <c r="D44" s="26"/>
      <c r="E44" s="26" t="n">
        <v>11500</v>
      </c>
      <c r="F44" s="26" t="s">
        <v>398</v>
      </c>
      <c r="G44" s="26" t="n">
        <v>2.13</v>
      </c>
      <c r="H44" s="26" t="n">
        <v>125</v>
      </c>
      <c r="I44" s="26" t="s">
        <v>345</v>
      </c>
      <c r="J44" s="26" t="n">
        <v>0</v>
      </c>
      <c r="K44" s="26" t="n">
        <v>55</v>
      </c>
      <c r="L44" s="26" t="s">
        <v>172</v>
      </c>
      <c r="M44" s="27" t="s">
        <v>391</v>
      </c>
      <c r="N44" s="26" t="s">
        <v>206</v>
      </c>
      <c r="O44" s="27" t="s">
        <v>392</v>
      </c>
      <c r="P44" s="26"/>
      <c r="Q44" s="27" t="s">
        <v>337</v>
      </c>
      <c r="R44" s="27" t="s">
        <v>393</v>
      </c>
      <c r="S44" s="26" t="s">
        <v>206</v>
      </c>
      <c r="T44" s="27" t="s">
        <v>394</v>
      </c>
      <c r="U44" s="26" t="s">
        <v>206</v>
      </c>
      <c r="V44" s="27" t="s">
        <v>395</v>
      </c>
      <c r="W44" s="26" t="n">
        <v>55</v>
      </c>
      <c r="X44" s="26" t="s">
        <v>396</v>
      </c>
      <c r="Y44" s="26" t="n">
        <v>13</v>
      </c>
      <c r="Z44" s="28" t="n">
        <v>84076</v>
      </c>
      <c r="AA44" s="29" t="n">
        <v>1</v>
      </c>
      <c r="AB44" s="29" t="n">
        <v>2</v>
      </c>
      <c r="AC44" s="26" t="n">
        <v>3000</v>
      </c>
      <c r="AD44" s="28" t="n">
        <v>151576</v>
      </c>
      <c r="AE44" s="26"/>
    </row>
    <row r="45" customFormat="false" ht="52.2" hidden="false" customHeight="false" outlineLevel="0" collapsed="false">
      <c r="A45" s="12" t="str">
        <f aca="false">B45&amp;" | "&amp;C45</f>
        <v>JCB | VM137</v>
      </c>
      <c r="B45" s="26" t="s">
        <v>387</v>
      </c>
      <c r="C45" s="26" t="s">
        <v>399</v>
      </c>
      <c r="D45" s="26"/>
      <c r="E45" s="26" t="n">
        <v>13700</v>
      </c>
      <c r="F45" s="26" t="s">
        <v>398</v>
      </c>
      <c r="G45" s="26" t="n">
        <v>2.13</v>
      </c>
      <c r="H45" s="26" t="n">
        <v>125</v>
      </c>
      <c r="I45" s="26" t="s">
        <v>356</v>
      </c>
      <c r="J45" s="26" t="n">
        <v>0</v>
      </c>
      <c r="K45" s="26"/>
      <c r="L45" s="26" t="s">
        <v>172</v>
      </c>
      <c r="M45" s="26" t="s">
        <v>215</v>
      </c>
      <c r="N45" s="26" t="s">
        <v>206</v>
      </c>
      <c r="O45" s="26"/>
      <c r="P45" s="26"/>
      <c r="Q45" s="27" t="s">
        <v>400</v>
      </c>
      <c r="R45" s="27" t="s">
        <v>401</v>
      </c>
      <c r="S45" s="26"/>
      <c r="T45" s="26"/>
      <c r="U45" s="26"/>
      <c r="V45" s="26"/>
      <c r="W45" s="26"/>
      <c r="X45" s="26" t="s">
        <v>206</v>
      </c>
      <c r="Y45" s="26" t="n">
        <v>0</v>
      </c>
      <c r="Z45" s="28" t="n">
        <v>0</v>
      </c>
      <c r="AA45" s="29" t="n">
        <v>1</v>
      </c>
      <c r="AB45" s="29" t="n">
        <v>2</v>
      </c>
      <c r="AC45" s="26" t="n">
        <v>3000</v>
      </c>
      <c r="AD45" s="28" t="n">
        <v>0</v>
      </c>
      <c r="AE45" s="26"/>
    </row>
    <row r="46" customFormat="false" ht="90.25" hidden="false" customHeight="false" outlineLevel="0" collapsed="false">
      <c r="A46" s="12" t="str">
        <f aca="false">B46&amp;" | "&amp;C46</f>
        <v>NEW HOLLAND | V110</v>
      </c>
      <c r="B46" s="26" t="s">
        <v>402</v>
      </c>
      <c r="C46" s="26" t="s">
        <v>403</v>
      </c>
      <c r="D46" s="26"/>
      <c r="E46" s="26" t="n">
        <v>11380</v>
      </c>
      <c r="F46" s="26" t="s">
        <v>404</v>
      </c>
      <c r="G46" s="26" t="n">
        <v>2.16</v>
      </c>
      <c r="H46" s="26" t="n">
        <v>110</v>
      </c>
      <c r="I46" s="26" t="s">
        <v>390</v>
      </c>
      <c r="J46" s="26" t="n">
        <v>31</v>
      </c>
      <c r="K46" s="26" t="n">
        <v>40</v>
      </c>
      <c r="L46" s="26" t="s">
        <v>172</v>
      </c>
      <c r="M46" s="27" t="s">
        <v>335</v>
      </c>
      <c r="N46" s="26" t="s">
        <v>206</v>
      </c>
      <c r="O46" s="27" t="s">
        <v>405</v>
      </c>
      <c r="P46" s="26"/>
      <c r="Q46" s="27" t="s">
        <v>406</v>
      </c>
      <c r="R46" s="27" t="s">
        <v>407</v>
      </c>
      <c r="S46" s="27" t="s">
        <v>408</v>
      </c>
      <c r="T46" s="27" t="s">
        <v>409</v>
      </c>
      <c r="U46" s="27" t="s">
        <v>410</v>
      </c>
      <c r="V46" s="27" t="s">
        <v>411</v>
      </c>
      <c r="W46" s="26" t="n">
        <v>50</v>
      </c>
      <c r="X46" s="26" t="s">
        <v>412</v>
      </c>
      <c r="Y46" s="26" t="n">
        <v>10.5</v>
      </c>
      <c r="Z46" s="28" t="n">
        <v>71600</v>
      </c>
      <c r="AA46" s="29" t="n">
        <v>1</v>
      </c>
      <c r="AB46" s="29" t="n">
        <v>2</v>
      </c>
      <c r="AC46" s="26" t="n">
        <v>3000</v>
      </c>
      <c r="AD46" s="28" t="n">
        <v>127850</v>
      </c>
      <c r="AE46" s="26"/>
    </row>
    <row r="47" customFormat="false" ht="115.65" hidden="false" customHeight="false" outlineLevel="0" collapsed="false">
      <c r="A47" s="12" t="str">
        <f aca="false">B47&amp;" | "&amp;C47</f>
        <v>AMMANN | ASC110</v>
      </c>
      <c r="B47" s="26" t="s">
        <v>413</v>
      </c>
      <c r="C47" s="26" t="s">
        <v>414</v>
      </c>
      <c r="D47" s="26"/>
      <c r="E47" s="26" t="n">
        <v>11490</v>
      </c>
      <c r="F47" s="26" t="s">
        <v>415</v>
      </c>
      <c r="G47" s="26" t="n">
        <v>2.13</v>
      </c>
      <c r="H47" s="26" t="n">
        <v>160</v>
      </c>
      <c r="I47" s="26" t="s">
        <v>416</v>
      </c>
      <c r="J47" s="26" t="n">
        <v>34.5</v>
      </c>
      <c r="K47" s="26" t="n">
        <v>60</v>
      </c>
      <c r="L47" s="26" t="s">
        <v>334</v>
      </c>
      <c r="M47" s="27" t="s">
        <v>417</v>
      </c>
      <c r="N47" s="26" t="s">
        <v>206</v>
      </c>
      <c r="O47" s="27" t="s">
        <v>418</v>
      </c>
      <c r="P47" s="26"/>
      <c r="Q47" s="27" t="s">
        <v>419</v>
      </c>
      <c r="R47" s="27" t="s">
        <v>420</v>
      </c>
      <c r="S47" s="27" t="s">
        <v>421</v>
      </c>
      <c r="T47" s="27" t="s">
        <v>422</v>
      </c>
      <c r="U47" s="27" t="s">
        <v>423</v>
      </c>
      <c r="V47" s="27" t="s">
        <v>424</v>
      </c>
      <c r="W47" s="26" t="n">
        <v>60</v>
      </c>
      <c r="X47" s="26" t="s">
        <v>425</v>
      </c>
      <c r="Y47" s="26" t="n">
        <v>16.3</v>
      </c>
      <c r="Z47" s="28" t="n">
        <v>89930</v>
      </c>
      <c r="AA47" s="29" t="n">
        <v>1</v>
      </c>
      <c r="AB47" s="29" t="n">
        <v>2</v>
      </c>
      <c r="AC47" s="26" t="n">
        <v>3000</v>
      </c>
      <c r="AD47" s="28" t="n">
        <v>172280</v>
      </c>
      <c r="AE47" s="26"/>
    </row>
    <row r="48" customFormat="false" ht="77.6" hidden="false" customHeight="false" outlineLevel="0" collapsed="false">
      <c r="A48" s="12" t="str">
        <f aca="false">B48&amp;" | "&amp;C48</f>
        <v>SEM | 510</v>
      </c>
      <c r="B48" s="26" t="s">
        <v>426</v>
      </c>
      <c r="C48" s="26" t="s">
        <v>427</v>
      </c>
      <c r="D48" s="26"/>
      <c r="E48" s="26" t="n">
        <v>10000</v>
      </c>
      <c r="F48" s="26" t="s">
        <v>428</v>
      </c>
      <c r="G48" s="26" t="n">
        <v>2.1</v>
      </c>
      <c r="H48" s="26" t="n">
        <v>130.7</v>
      </c>
      <c r="I48" s="26" t="s">
        <v>235</v>
      </c>
      <c r="J48" s="26" t="n">
        <v>27.6</v>
      </c>
      <c r="K48" s="26" t="n">
        <v>45</v>
      </c>
      <c r="L48" s="26" t="s">
        <v>189</v>
      </c>
      <c r="M48" s="27" t="s">
        <v>335</v>
      </c>
      <c r="N48" s="26" t="s">
        <v>309</v>
      </c>
      <c r="O48" s="26" t="s">
        <v>309</v>
      </c>
      <c r="P48" s="26"/>
      <c r="Q48" s="27" t="s">
        <v>429</v>
      </c>
      <c r="R48" s="27" t="s">
        <v>430</v>
      </c>
      <c r="S48" s="26" t="s">
        <v>206</v>
      </c>
      <c r="T48" s="27" t="s">
        <v>394</v>
      </c>
      <c r="U48" s="26" t="s">
        <v>206</v>
      </c>
      <c r="V48" s="27" t="s">
        <v>431</v>
      </c>
      <c r="W48" s="26" t="n">
        <v>55</v>
      </c>
      <c r="X48" s="26" t="s">
        <v>396</v>
      </c>
      <c r="Y48" s="26" t="n">
        <v>13</v>
      </c>
      <c r="Z48" s="28" t="n">
        <v>84076</v>
      </c>
      <c r="AA48" s="29" t="n">
        <v>1</v>
      </c>
      <c r="AB48" s="29" t="n">
        <v>2</v>
      </c>
      <c r="AC48" s="26" t="n">
        <v>3000</v>
      </c>
      <c r="AD48" s="28" t="n">
        <v>151576</v>
      </c>
      <c r="AE48" s="26"/>
    </row>
    <row r="49" customFormat="false" ht="77.6" hidden="false" customHeight="false" outlineLevel="0" collapsed="false">
      <c r="A49" s="12" t="str">
        <f aca="false">B49&amp;" | "&amp;C49</f>
        <v>CASE | 1107EX</v>
      </c>
      <c r="B49" s="26" t="s">
        <v>432</v>
      </c>
      <c r="C49" s="26" t="s">
        <v>433</v>
      </c>
      <c r="D49" s="26"/>
      <c r="E49" s="26" t="n">
        <v>11200</v>
      </c>
      <c r="F49" s="26" t="s">
        <v>434</v>
      </c>
      <c r="G49" s="26" t="n">
        <v>2.1</v>
      </c>
      <c r="H49" s="26" t="n">
        <v>110</v>
      </c>
      <c r="I49" s="26" t="s">
        <v>390</v>
      </c>
      <c r="J49" s="26" t="n">
        <v>29</v>
      </c>
      <c r="K49" s="26" t="n">
        <v>36</v>
      </c>
      <c r="L49" s="26" t="s">
        <v>172</v>
      </c>
      <c r="M49" s="27" t="s">
        <v>335</v>
      </c>
      <c r="N49" s="26" t="s">
        <v>206</v>
      </c>
      <c r="O49" s="26" t="s">
        <v>206</v>
      </c>
      <c r="P49" s="26"/>
      <c r="Q49" s="27" t="s">
        <v>337</v>
      </c>
      <c r="R49" s="27" t="s">
        <v>435</v>
      </c>
      <c r="S49" s="26" t="s">
        <v>206</v>
      </c>
      <c r="T49" s="27" t="s">
        <v>436</v>
      </c>
      <c r="U49" s="26" t="s">
        <v>206</v>
      </c>
      <c r="V49" s="27" t="s">
        <v>437</v>
      </c>
      <c r="W49" s="26" t="n">
        <v>55</v>
      </c>
      <c r="X49" s="26" t="s">
        <v>206</v>
      </c>
      <c r="Y49" s="26" t="n">
        <v>13</v>
      </c>
      <c r="Z49" s="28" t="n">
        <v>84076</v>
      </c>
      <c r="AA49" s="29" t="n">
        <v>1</v>
      </c>
      <c r="AB49" s="29" t="n">
        <v>2</v>
      </c>
      <c r="AC49" s="26" t="n">
        <v>3000</v>
      </c>
      <c r="AD49" s="28" t="n">
        <v>151576</v>
      </c>
      <c r="AE49" s="26"/>
    </row>
  </sheetData>
  <autoFilter ref="A1:AE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11" min="4" style="0" width="16"/>
    <col collapsed="false" customWidth="true" hidden="false" outlineLevel="0" max="13" min="12" style="0" width="40"/>
    <col collapsed="false" customWidth="true" hidden="false" outlineLevel="0" max="28" min="14" style="0" width="16"/>
  </cols>
  <sheetData>
    <row r="1" customFormat="false" ht="45" hidden="false" customHeight="true" outlineLevel="0" collapsed="false">
      <c r="A1" s="9" t="s">
        <v>136</v>
      </c>
      <c r="B1" s="9" t="s">
        <v>137</v>
      </c>
      <c r="C1" s="9" t="s">
        <v>138</v>
      </c>
      <c r="D1" s="9" t="s">
        <v>140</v>
      </c>
      <c r="E1" s="9" t="s">
        <v>141</v>
      </c>
      <c r="F1" s="9" t="s">
        <v>142</v>
      </c>
      <c r="G1" s="9" t="s">
        <v>143</v>
      </c>
      <c r="H1" s="9" t="s">
        <v>144</v>
      </c>
      <c r="I1" s="9" t="s">
        <v>145</v>
      </c>
      <c r="J1" s="9" t="s">
        <v>147</v>
      </c>
      <c r="K1" s="9" t="s">
        <v>148</v>
      </c>
      <c r="L1" s="9" t="s">
        <v>150</v>
      </c>
      <c r="M1" s="9" t="s">
        <v>151</v>
      </c>
      <c r="N1" s="9" t="s">
        <v>160</v>
      </c>
      <c r="O1" s="9" t="s">
        <v>161</v>
      </c>
      <c r="P1" s="9" t="s">
        <v>162</v>
      </c>
      <c r="Q1" s="9" t="s">
        <v>163</v>
      </c>
      <c r="R1" s="9" t="s">
        <v>164</v>
      </c>
      <c r="S1" s="9" t="s">
        <v>165</v>
      </c>
      <c r="T1" s="9" t="s">
        <v>438</v>
      </c>
      <c r="U1" s="9" t="s">
        <v>439</v>
      </c>
      <c r="V1" s="9" t="s">
        <v>440</v>
      </c>
      <c r="W1" s="9" t="s">
        <v>441</v>
      </c>
      <c r="X1" s="9" t="s">
        <v>442</v>
      </c>
      <c r="Y1" s="9" t="s">
        <v>443</v>
      </c>
      <c r="Z1" s="9" t="s">
        <v>444</v>
      </c>
      <c r="AA1" s="9" t="s">
        <v>445</v>
      </c>
      <c r="AB1" s="9" t="s">
        <v>166</v>
      </c>
    </row>
    <row r="2" customFormat="false" ht="153.7" hidden="false" customHeight="false" outlineLevel="0" collapsed="false">
      <c r="A2" s="12" t="str">
        <f aca="false">B2&amp;" | "&amp;C2</f>
        <v>BOMAG | BW120 AD-5</v>
      </c>
      <c r="B2" s="26" t="s">
        <v>167</v>
      </c>
      <c r="C2" s="26" t="s">
        <v>446</v>
      </c>
      <c r="D2" s="26" t="n">
        <v>2700</v>
      </c>
      <c r="E2" s="26" t="s">
        <v>447</v>
      </c>
      <c r="F2" s="26" t="n">
        <v>1.2</v>
      </c>
      <c r="G2" s="26" t="n">
        <v>32.6</v>
      </c>
      <c r="H2" s="26" t="s">
        <v>448</v>
      </c>
      <c r="I2" s="26" t="n">
        <v>11.3</v>
      </c>
      <c r="J2" s="26" t="s">
        <v>449</v>
      </c>
      <c r="K2" s="26" t="s">
        <v>450</v>
      </c>
      <c r="L2" s="27" t="s">
        <v>451</v>
      </c>
      <c r="M2" s="27" t="s">
        <v>452</v>
      </c>
      <c r="N2" s="26" t="n">
        <v>2.6</v>
      </c>
      <c r="O2" s="28" t="n">
        <v>28000</v>
      </c>
      <c r="P2" s="29" t="n">
        <v>1</v>
      </c>
      <c r="Q2" s="29" t="n">
        <v>1.3</v>
      </c>
      <c r="R2" s="26" t="n">
        <v>3500</v>
      </c>
      <c r="S2" s="28" t="n">
        <v>49700</v>
      </c>
      <c r="T2" s="26" t="s">
        <v>453</v>
      </c>
      <c r="U2" s="26" t="n">
        <v>205</v>
      </c>
      <c r="V2" s="26" t="s">
        <v>454</v>
      </c>
      <c r="W2" s="26" t="s">
        <v>441</v>
      </c>
      <c r="X2" s="26" t="s">
        <v>442</v>
      </c>
      <c r="Y2" s="26" t="s">
        <v>443</v>
      </c>
      <c r="Z2" s="26" t="s">
        <v>444</v>
      </c>
      <c r="AA2" s="28" t="n">
        <v>49700</v>
      </c>
      <c r="AB2" s="27" t="s">
        <v>455</v>
      </c>
    </row>
    <row r="3" customFormat="false" ht="153.7" hidden="false" customHeight="false" outlineLevel="0" collapsed="false">
      <c r="A3" s="12" t="str">
        <f aca="false">B3&amp;" | "&amp;C3</f>
        <v>CATERPILLAR | CB2.7GC</v>
      </c>
      <c r="B3" s="26" t="s">
        <v>304</v>
      </c>
      <c r="C3" s="26" t="s">
        <v>456</v>
      </c>
      <c r="D3" s="26" t="n">
        <v>2698</v>
      </c>
      <c r="E3" s="26" t="s">
        <v>457</v>
      </c>
      <c r="F3" s="26" t="n">
        <v>1.3</v>
      </c>
      <c r="G3" s="26" t="n">
        <v>24.6</v>
      </c>
      <c r="H3" s="26" t="s">
        <v>458</v>
      </c>
      <c r="I3" s="26" t="n">
        <v>13.7</v>
      </c>
      <c r="J3" s="26" t="s">
        <v>189</v>
      </c>
      <c r="K3" s="26" t="s">
        <v>459</v>
      </c>
      <c r="L3" s="27" t="s">
        <v>460</v>
      </c>
      <c r="M3" s="27" t="s">
        <v>460</v>
      </c>
      <c r="N3" s="26" t="n">
        <v>2.3</v>
      </c>
      <c r="O3" s="28" t="n">
        <v>29630</v>
      </c>
      <c r="P3" s="29" t="n">
        <v>1</v>
      </c>
      <c r="Q3" s="29" t="n">
        <v>2</v>
      </c>
      <c r="R3" s="26" t="n">
        <v>3500</v>
      </c>
      <c r="S3" s="28" t="n">
        <v>52205</v>
      </c>
      <c r="T3" s="26" t="s">
        <v>453</v>
      </c>
      <c r="U3" s="26" t="n">
        <v>200</v>
      </c>
      <c r="V3" s="26" t="s">
        <v>454</v>
      </c>
      <c r="W3" s="26" t="s">
        <v>441</v>
      </c>
      <c r="X3" s="26" t="s">
        <v>442</v>
      </c>
      <c r="Y3" s="26" t="s">
        <v>443</v>
      </c>
      <c r="Z3" s="26" t="s">
        <v>444</v>
      </c>
      <c r="AA3" s="28" t="n">
        <v>52205</v>
      </c>
      <c r="AB3" s="27" t="s">
        <v>461</v>
      </c>
    </row>
    <row r="4" customFormat="false" ht="153.7" hidden="false" customHeight="false" outlineLevel="0" collapsed="false">
      <c r="A4" s="12" t="str">
        <f aca="false">B4&amp;" | "&amp;C4</f>
        <v>HAMM | HD12 VV</v>
      </c>
      <c r="B4" s="26" t="s">
        <v>267</v>
      </c>
      <c r="C4" s="26" t="s">
        <v>462</v>
      </c>
      <c r="D4" s="26" t="n">
        <v>2695</v>
      </c>
      <c r="E4" s="26" t="s">
        <v>463</v>
      </c>
      <c r="F4" s="26" t="n">
        <v>1.25</v>
      </c>
      <c r="G4" s="26" t="n">
        <v>30.7</v>
      </c>
      <c r="H4" s="26" t="s">
        <v>458</v>
      </c>
      <c r="I4" s="26" t="n">
        <v>11.2</v>
      </c>
      <c r="J4" s="26" t="s">
        <v>464</v>
      </c>
      <c r="K4" s="27" t="s">
        <v>465</v>
      </c>
      <c r="L4" s="27" t="s">
        <v>466</v>
      </c>
      <c r="M4" s="27" t="s">
        <v>466</v>
      </c>
      <c r="N4" s="26" t="n">
        <v>2.8</v>
      </c>
      <c r="O4" s="28" t="n">
        <v>29580</v>
      </c>
      <c r="P4" s="29" t="n">
        <v>1.5</v>
      </c>
      <c r="Q4" s="29" t="n">
        <v>1</v>
      </c>
      <c r="R4" s="26" t="n">
        <v>3500</v>
      </c>
      <c r="S4" s="28" t="n">
        <v>53030</v>
      </c>
      <c r="T4" s="26" t="s">
        <v>453</v>
      </c>
      <c r="U4" s="26" t="n">
        <v>180</v>
      </c>
      <c r="V4" s="26" t="s">
        <v>454</v>
      </c>
      <c r="W4" s="26" t="s">
        <v>441</v>
      </c>
      <c r="X4" s="26" t="s">
        <v>442</v>
      </c>
      <c r="Y4" s="26" t="s">
        <v>443</v>
      </c>
      <c r="Z4" s="26" t="s">
        <v>444</v>
      </c>
      <c r="AA4" s="28" t="n">
        <v>53030</v>
      </c>
      <c r="AB4" s="27" t="s">
        <v>467</v>
      </c>
    </row>
    <row r="5" customFormat="false" ht="153.7" hidden="false" customHeight="false" outlineLevel="0" collapsed="false">
      <c r="A5" s="12" t="str">
        <f aca="false">B5&amp;" | "&amp;C5</f>
        <v>DYNAPAC | CC1200</v>
      </c>
      <c r="B5" s="26" t="s">
        <v>232</v>
      </c>
      <c r="C5" s="26" t="s">
        <v>468</v>
      </c>
      <c r="D5" s="26" t="n">
        <v>2600</v>
      </c>
      <c r="E5" s="26" t="s">
        <v>469</v>
      </c>
      <c r="F5" s="26" t="n">
        <v>1.2</v>
      </c>
      <c r="G5" s="26" t="n">
        <v>35</v>
      </c>
      <c r="H5" s="26" t="s">
        <v>470</v>
      </c>
      <c r="I5" s="26" t="n">
        <v>10.5</v>
      </c>
      <c r="J5" s="26" t="s">
        <v>334</v>
      </c>
      <c r="K5" s="26" t="s">
        <v>471</v>
      </c>
      <c r="L5" s="27" t="s">
        <v>472</v>
      </c>
      <c r="M5" s="27" t="s">
        <v>472</v>
      </c>
      <c r="N5" s="26" t="n">
        <v>2.7</v>
      </c>
      <c r="O5" s="28" t="n">
        <v>26783</v>
      </c>
      <c r="P5" s="29" t="n">
        <v>1</v>
      </c>
      <c r="Q5" s="29" t="n">
        <v>1.4</v>
      </c>
      <c r="R5" s="26" t="n">
        <v>3500</v>
      </c>
      <c r="S5" s="28" t="n">
        <v>49358</v>
      </c>
      <c r="T5" s="26" t="s">
        <v>453</v>
      </c>
      <c r="U5" s="26" t="n">
        <v>159</v>
      </c>
      <c r="V5" s="26" t="s">
        <v>454</v>
      </c>
      <c r="W5" s="26" t="s">
        <v>441</v>
      </c>
      <c r="X5" s="26" t="s">
        <v>442</v>
      </c>
      <c r="Y5" s="26" t="s">
        <v>443</v>
      </c>
      <c r="Z5" s="26" t="s">
        <v>444</v>
      </c>
      <c r="AA5" s="28" t="n">
        <v>49358</v>
      </c>
      <c r="AB5" s="27" t="s">
        <v>473</v>
      </c>
    </row>
    <row r="6" customFormat="false" ht="153.7" hidden="false" customHeight="false" outlineLevel="0" collapsed="false">
      <c r="A6" s="12" t="str">
        <f aca="false">B6&amp;" | "&amp;C6</f>
        <v>AMMANN | ARX 26</v>
      </c>
      <c r="B6" s="26" t="s">
        <v>413</v>
      </c>
      <c r="C6" s="26" t="s">
        <v>474</v>
      </c>
      <c r="D6" s="26" t="n">
        <v>2460</v>
      </c>
      <c r="E6" s="26" t="s">
        <v>475</v>
      </c>
      <c r="F6" s="26" t="n">
        <v>1.2</v>
      </c>
      <c r="G6" s="26" t="n">
        <v>27.3</v>
      </c>
      <c r="H6" s="26" t="s">
        <v>476</v>
      </c>
      <c r="I6" s="26" t="n">
        <v>10.3</v>
      </c>
      <c r="J6" s="26" t="s">
        <v>477</v>
      </c>
      <c r="K6" s="26" t="s">
        <v>478</v>
      </c>
      <c r="L6" s="27" t="s">
        <v>479</v>
      </c>
      <c r="M6" s="27" t="s">
        <v>479</v>
      </c>
      <c r="N6" s="26" t="n">
        <v>3.2</v>
      </c>
      <c r="O6" s="28" t="n">
        <v>25500</v>
      </c>
      <c r="P6" s="29" t="n">
        <v>1</v>
      </c>
      <c r="Q6" s="29" t="n">
        <v>1.3</v>
      </c>
      <c r="R6" s="26" t="n">
        <v>3500</v>
      </c>
      <c r="S6" s="28" t="n">
        <v>50350</v>
      </c>
      <c r="T6" s="26" t="s">
        <v>453</v>
      </c>
      <c r="U6" s="26" t="n">
        <v>110</v>
      </c>
      <c r="V6" s="26" t="s">
        <v>454</v>
      </c>
      <c r="W6" s="26" t="s">
        <v>441</v>
      </c>
      <c r="X6" s="26" t="s">
        <v>442</v>
      </c>
      <c r="Y6" s="26" t="s">
        <v>443</v>
      </c>
      <c r="Z6" s="26" t="s">
        <v>444</v>
      </c>
      <c r="AA6" s="28" t="n">
        <v>50350</v>
      </c>
      <c r="AB6" s="27" t="s">
        <v>480</v>
      </c>
    </row>
    <row r="7" customFormat="false" ht="153.7" hidden="false" customHeight="false" outlineLevel="0" collapsed="false">
      <c r="A7" s="12" t="str">
        <f aca="false">B7&amp;" | "&amp;C7</f>
        <v>JCB | CT260</v>
      </c>
      <c r="B7" s="26" t="s">
        <v>387</v>
      </c>
      <c r="C7" s="26" t="s">
        <v>481</v>
      </c>
      <c r="D7" s="26" t="n">
        <v>2740</v>
      </c>
      <c r="E7" s="26" t="s">
        <v>469</v>
      </c>
      <c r="F7" s="26" t="n">
        <v>1.2</v>
      </c>
      <c r="G7" s="26" t="n">
        <v>24.4</v>
      </c>
      <c r="H7" s="26" t="s">
        <v>482</v>
      </c>
      <c r="I7" s="26" t="n">
        <v>10.5</v>
      </c>
      <c r="J7" s="26" t="s">
        <v>172</v>
      </c>
      <c r="K7" s="26" t="s">
        <v>215</v>
      </c>
      <c r="L7" s="27" t="s">
        <v>337</v>
      </c>
      <c r="M7" s="27" t="s">
        <v>337</v>
      </c>
      <c r="N7" s="26" t="n">
        <v>2.7</v>
      </c>
      <c r="O7" s="28" t="n">
        <v>23500</v>
      </c>
      <c r="P7" s="29" t="n">
        <v>1.5</v>
      </c>
      <c r="Q7" s="29" t="n">
        <v>2</v>
      </c>
      <c r="R7" s="26" t="n">
        <v>3500</v>
      </c>
      <c r="S7" s="28" t="n">
        <v>49925</v>
      </c>
      <c r="T7" s="26" t="s">
        <v>453</v>
      </c>
      <c r="U7" s="26" t="n">
        <v>197</v>
      </c>
      <c r="V7" s="26" t="s">
        <v>454</v>
      </c>
      <c r="W7" s="26" t="s">
        <v>441</v>
      </c>
      <c r="X7" s="26" t="s">
        <v>442</v>
      </c>
      <c r="Y7" s="26" t="s">
        <v>443</v>
      </c>
      <c r="Z7" s="26" t="s">
        <v>444</v>
      </c>
      <c r="AA7" s="28" t="n">
        <v>49925</v>
      </c>
      <c r="AB7" s="27" t="s">
        <v>483</v>
      </c>
    </row>
    <row r="8" customFormat="false" ht="153.7" hidden="false" customHeight="false" outlineLevel="0" collapsed="false">
      <c r="A8" s="12" t="str">
        <f aca="false">B8&amp;" | "&amp;C8</f>
        <v>WACKER NEUSON | RD27</v>
      </c>
      <c r="B8" s="26" t="s">
        <v>484</v>
      </c>
      <c r="C8" s="26" t="s">
        <v>485</v>
      </c>
      <c r="D8" s="26" t="n">
        <v>2695</v>
      </c>
      <c r="E8" s="26" t="s">
        <v>486</v>
      </c>
      <c r="F8" s="26" t="n">
        <v>1.2</v>
      </c>
      <c r="G8" s="26" t="n">
        <v>30.7</v>
      </c>
      <c r="H8" s="26" t="s">
        <v>482</v>
      </c>
      <c r="I8" s="26" t="n">
        <v>10.5</v>
      </c>
      <c r="J8" s="26" t="s">
        <v>487</v>
      </c>
      <c r="K8" s="26" t="s">
        <v>215</v>
      </c>
      <c r="L8" s="27" t="s">
        <v>337</v>
      </c>
      <c r="M8" s="27" t="s">
        <v>337</v>
      </c>
      <c r="N8" s="26" t="n">
        <v>2.7</v>
      </c>
      <c r="O8" s="28" t="n">
        <v>23500</v>
      </c>
      <c r="P8" s="29" t="n">
        <v>1.5</v>
      </c>
      <c r="Q8" s="29" t="n">
        <v>2</v>
      </c>
      <c r="R8" s="26" t="n">
        <v>3500</v>
      </c>
      <c r="S8" s="28" t="n">
        <v>49925</v>
      </c>
      <c r="T8" s="26" t="s">
        <v>453</v>
      </c>
      <c r="U8" s="26" t="n">
        <v>197</v>
      </c>
      <c r="V8" s="26" t="s">
        <v>454</v>
      </c>
      <c r="W8" s="26" t="s">
        <v>441</v>
      </c>
      <c r="X8" s="26" t="s">
        <v>442</v>
      </c>
      <c r="Y8" s="26" t="s">
        <v>443</v>
      </c>
      <c r="Z8" s="26" t="s">
        <v>444</v>
      </c>
      <c r="AA8" s="28" t="n">
        <v>49925</v>
      </c>
      <c r="AB8" s="27" t="s">
        <v>483</v>
      </c>
    </row>
  </sheetData>
  <autoFilter ref="A1:A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11" min="4" style="0" width="16"/>
    <col collapsed="false" customWidth="true" hidden="false" outlineLevel="0" max="13" min="12" style="0" width="40"/>
    <col collapsed="false" customWidth="true" hidden="false" outlineLevel="0" max="14" min="14" style="0" width="16"/>
    <col collapsed="false" customWidth="true" hidden="false" outlineLevel="0" max="17" min="15" style="0" width="40"/>
    <col collapsed="false" customWidth="true" hidden="false" outlineLevel="0" max="23" min="18" style="0" width="16"/>
    <col collapsed="false" customWidth="true" hidden="false" outlineLevel="0" max="24" min="24" style="0" width="40"/>
    <col collapsed="false" customWidth="true" hidden="false" outlineLevel="0" max="27" min="25" style="0" width="16"/>
  </cols>
  <sheetData>
    <row r="1" customFormat="false" ht="45" hidden="false" customHeight="true" outlineLevel="0" collapsed="false">
      <c r="A1" s="9" t="s">
        <v>136</v>
      </c>
      <c r="B1" s="9" t="s">
        <v>137</v>
      </c>
      <c r="C1" s="9" t="s">
        <v>138</v>
      </c>
      <c r="D1" s="9" t="s">
        <v>140</v>
      </c>
      <c r="E1" s="9" t="s">
        <v>141</v>
      </c>
      <c r="F1" s="9" t="s">
        <v>142</v>
      </c>
      <c r="G1" s="9" t="s">
        <v>143</v>
      </c>
      <c r="H1" s="9" t="s">
        <v>144</v>
      </c>
      <c r="I1" s="9" t="s">
        <v>145</v>
      </c>
      <c r="J1" s="9" t="s">
        <v>146</v>
      </c>
      <c r="K1" s="9" t="s">
        <v>147</v>
      </c>
      <c r="L1" s="9" t="s">
        <v>148</v>
      </c>
      <c r="M1" s="9" t="s">
        <v>488</v>
      </c>
      <c r="N1" s="9" t="s">
        <v>149</v>
      </c>
      <c r="O1" s="9" t="s">
        <v>150</v>
      </c>
      <c r="P1" s="9" t="s">
        <v>489</v>
      </c>
      <c r="Q1" s="9" t="s">
        <v>178</v>
      </c>
      <c r="R1" s="9" t="s">
        <v>160</v>
      </c>
      <c r="S1" s="9" t="s">
        <v>161</v>
      </c>
      <c r="T1" s="9" t="s">
        <v>162</v>
      </c>
      <c r="U1" s="9" t="s">
        <v>163</v>
      </c>
      <c r="V1" s="9" t="s">
        <v>164</v>
      </c>
      <c r="W1" s="9" t="s">
        <v>165</v>
      </c>
      <c r="X1" s="9" t="s">
        <v>151</v>
      </c>
      <c r="Y1" s="9" t="s">
        <v>158</v>
      </c>
      <c r="Z1" s="9" t="s">
        <v>159</v>
      </c>
      <c r="AA1" s="9" t="s">
        <v>166</v>
      </c>
    </row>
    <row r="2" customFormat="false" ht="90.25" hidden="false" customHeight="false" outlineLevel="0" collapsed="false">
      <c r="A2" s="12" t="str">
        <f aca="false">B2&amp;" | "&amp;C2</f>
        <v>BOMAG | BW161 AD-4</v>
      </c>
      <c r="B2" s="26" t="s">
        <v>167</v>
      </c>
      <c r="C2" s="26" t="s">
        <v>490</v>
      </c>
      <c r="D2" s="26" t="n">
        <v>9700</v>
      </c>
      <c r="E2" s="26" t="s">
        <v>491</v>
      </c>
      <c r="F2" s="26" t="n">
        <v>1.68</v>
      </c>
      <c r="G2" s="26" t="n">
        <v>114</v>
      </c>
      <c r="H2" s="26" t="s">
        <v>492</v>
      </c>
      <c r="I2" s="26" t="n">
        <v>30.1</v>
      </c>
      <c r="J2" s="26" t="n">
        <v>35</v>
      </c>
      <c r="K2" s="26" t="s">
        <v>271</v>
      </c>
      <c r="L2" s="27" t="s">
        <v>493</v>
      </c>
      <c r="M2" s="27" t="s">
        <v>494</v>
      </c>
      <c r="N2" s="26" t="s">
        <v>495</v>
      </c>
      <c r="O2" s="27" t="s">
        <v>496</v>
      </c>
      <c r="P2" s="27" t="s">
        <v>497</v>
      </c>
      <c r="Q2" s="27" t="s">
        <v>178</v>
      </c>
      <c r="R2" s="26" t="n">
        <v>11.8</v>
      </c>
      <c r="S2" s="28" t="n">
        <v>28000</v>
      </c>
      <c r="T2" s="29" t="n">
        <v>1</v>
      </c>
      <c r="U2" s="29" t="n">
        <v>2</v>
      </c>
      <c r="V2" s="26" t="n">
        <v>2000</v>
      </c>
      <c r="W2" s="28" t="n">
        <v>50000</v>
      </c>
      <c r="X2" s="27" t="s">
        <v>496</v>
      </c>
      <c r="Y2" s="26" t="n">
        <v>0.3</v>
      </c>
      <c r="Z2" s="26" t="s">
        <v>498</v>
      </c>
      <c r="AA2" s="27" t="s">
        <v>499</v>
      </c>
    </row>
    <row r="3" customFormat="false" ht="64.9" hidden="false" customHeight="false" outlineLevel="0" collapsed="false">
      <c r="A3" s="12" t="str">
        <f aca="false">B3&amp;" | "&amp;C3</f>
        <v>AMMANN | AV110X</v>
      </c>
      <c r="B3" s="26" t="s">
        <v>413</v>
      </c>
      <c r="C3" s="26" t="s">
        <v>500</v>
      </c>
      <c r="D3" s="26" t="n">
        <v>10400</v>
      </c>
      <c r="E3" s="26" t="s">
        <v>501</v>
      </c>
      <c r="F3" s="26" t="n">
        <v>1.7</v>
      </c>
      <c r="G3" s="26" t="n">
        <v>99</v>
      </c>
      <c r="H3" s="26" t="s">
        <v>502</v>
      </c>
      <c r="I3" s="26" t="n">
        <v>30.9</v>
      </c>
      <c r="J3" s="26" t="n">
        <v>30</v>
      </c>
      <c r="K3" s="26" t="s">
        <v>503</v>
      </c>
      <c r="L3" s="26" t="s">
        <v>215</v>
      </c>
      <c r="M3" s="26" t="s">
        <v>215</v>
      </c>
      <c r="N3" s="26" t="s">
        <v>504</v>
      </c>
      <c r="O3" s="26" t="s">
        <v>505</v>
      </c>
      <c r="P3" s="27" t="s">
        <v>506</v>
      </c>
      <c r="Q3" s="26" t="s">
        <v>215</v>
      </c>
      <c r="R3" s="26" t="n">
        <v>11.8</v>
      </c>
      <c r="S3" s="28" t="n">
        <v>28000</v>
      </c>
      <c r="T3" s="29" t="n">
        <v>1</v>
      </c>
      <c r="U3" s="29" t="n">
        <v>2</v>
      </c>
      <c r="V3" s="26" t="n">
        <v>2000</v>
      </c>
      <c r="W3" s="28" t="n">
        <v>50000</v>
      </c>
      <c r="X3" s="26" t="s">
        <v>505</v>
      </c>
      <c r="Y3" s="26" t="n">
        <v>0.3</v>
      </c>
      <c r="Z3" s="26" t="s">
        <v>507</v>
      </c>
      <c r="AA3" s="27" t="s">
        <v>499</v>
      </c>
    </row>
    <row r="4" customFormat="false" ht="64.9" hidden="false" customHeight="false" outlineLevel="0" collapsed="false">
      <c r="A4" s="12" t="str">
        <f aca="false">B4&amp;" | "&amp;C4</f>
        <v>CATERPILLAR | CB10</v>
      </c>
      <c r="B4" s="26" t="s">
        <v>304</v>
      </c>
      <c r="C4" s="26" t="s">
        <v>508</v>
      </c>
      <c r="D4" s="26" t="n">
        <v>9500</v>
      </c>
      <c r="E4" s="26" t="s">
        <v>509</v>
      </c>
      <c r="F4" s="26" t="n">
        <v>1.7</v>
      </c>
      <c r="G4" s="26" t="n">
        <v>130</v>
      </c>
      <c r="H4" s="26" t="s">
        <v>510</v>
      </c>
      <c r="I4" s="26" t="n">
        <v>28.5</v>
      </c>
      <c r="J4" s="26" t="n">
        <v>31</v>
      </c>
      <c r="K4" s="26" t="s">
        <v>189</v>
      </c>
      <c r="L4" s="27" t="s">
        <v>511</v>
      </c>
      <c r="M4" s="26" t="s">
        <v>215</v>
      </c>
      <c r="N4" s="26" t="s">
        <v>309</v>
      </c>
      <c r="O4" s="26" t="s">
        <v>512</v>
      </c>
      <c r="P4" s="27" t="s">
        <v>513</v>
      </c>
      <c r="Q4" s="26" t="s">
        <v>215</v>
      </c>
      <c r="R4" s="26" t="n">
        <v>11.8</v>
      </c>
      <c r="S4" s="28" t="n">
        <v>28000</v>
      </c>
      <c r="T4" s="29" t="n">
        <v>1</v>
      </c>
      <c r="U4" s="29" t="n">
        <v>2</v>
      </c>
      <c r="V4" s="26" t="n">
        <v>2000</v>
      </c>
      <c r="W4" s="28" t="n">
        <v>50000</v>
      </c>
      <c r="X4" s="26" t="s">
        <v>512</v>
      </c>
      <c r="Y4" s="26" t="n">
        <v>0.3</v>
      </c>
      <c r="Z4" s="26" t="s">
        <v>514</v>
      </c>
      <c r="AA4" s="27" t="s">
        <v>499</v>
      </c>
    </row>
    <row r="5" customFormat="false" ht="64.9" hidden="false" customHeight="false" outlineLevel="0" collapsed="false">
      <c r="A5" s="12" t="str">
        <f aca="false">B5&amp;" | "&amp;C5</f>
        <v>DYNAPAC | CC4200</v>
      </c>
      <c r="B5" s="26" t="s">
        <v>232</v>
      </c>
      <c r="C5" s="26" t="s">
        <v>515</v>
      </c>
      <c r="D5" s="26" t="n">
        <v>10400</v>
      </c>
      <c r="E5" s="26" t="s">
        <v>250</v>
      </c>
      <c r="F5" s="26" t="n">
        <v>1.73</v>
      </c>
      <c r="G5" s="26" t="n">
        <v>110</v>
      </c>
      <c r="H5" s="26" t="s">
        <v>516</v>
      </c>
      <c r="I5" s="26" t="n">
        <v>31</v>
      </c>
      <c r="J5" s="26" t="n">
        <v>45</v>
      </c>
      <c r="K5" s="26" t="s">
        <v>334</v>
      </c>
      <c r="L5" s="26" t="s">
        <v>215</v>
      </c>
      <c r="M5" s="26" t="s">
        <v>215</v>
      </c>
      <c r="N5" s="26" t="s">
        <v>517</v>
      </c>
      <c r="O5" s="26" t="s">
        <v>518</v>
      </c>
      <c r="P5" s="27" t="s">
        <v>519</v>
      </c>
      <c r="Q5" s="27" t="s">
        <v>178</v>
      </c>
      <c r="R5" s="26" t="n">
        <v>11.8</v>
      </c>
      <c r="S5" s="28" t="n">
        <v>28000</v>
      </c>
      <c r="T5" s="29" t="n">
        <v>1</v>
      </c>
      <c r="U5" s="29" t="n">
        <v>2</v>
      </c>
      <c r="V5" s="26" t="n">
        <v>2000</v>
      </c>
      <c r="W5" s="28" t="n">
        <v>50000</v>
      </c>
      <c r="X5" s="26" t="s">
        <v>518</v>
      </c>
      <c r="Y5" s="26" t="n">
        <v>0.3</v>
      </c>
      <c r="Z5" s="26" t="s">
        <v>520</v>
      </c>
      <c r="AA5" s="27" t="s">
        <v>499</v>
      </c>
    </row>
    <row r="6" customFormat="false" ht="64.9" hidden="false" customHeight="false" outlineLevel="0" collapsed="false">
      <c r="A6" s="12" t="str">
        <f aca="false">B6&amp;" | "&amp;C6</f>
        <v>HAMM | HD90 VV</v>
      </c>
      <c r="B6" s="26" t="s">
        <v>267</v>
      </c>
      <c r="C6" s="26" t="s">
        <v>521</v>
      </c>
      <c r="D6" s="26" t="n">
        <v>9190</v>
      </c>
      <c r="E6" s="26" t="s">
        <v>491</v>
      </c>
      <c r="F6" s="26" t="n">
        <v>1.68</v>
      </c>
      <c r="G6" s="26" t="n">
        <v>134</v>
      </c>
      <c r="H6" s="26" t="s">
        <v>522</v>
      </c>
      <c r="I6" s="26" t="n">
        <v>27.6</v>
      </c>
      <c r="J6" s="26" t="n">
        <v>40</v>
      </c>
      <c r="K6" s="26" t="s">
        <v>271</v>
      </c>
      <c r="L6" s="27" t="s">
        <v>523</v>
      </c>
      <c r="M6" s="26" t="s">
        <v>215</v>
      </c>
      <c r="N6" s="26" t="s">
        <v>524</v>
      </c>
      <c r="O6" s="26" t="s">
        <v>525</v>
      </c>
      <c r="P6" s="27" t="s">
        <v>526</v>
      </c>
      <c r="Q6" s="27" t="s">
        <v>527</v>
      </c>
      <c r="R6" s="26" t="n">
        <v>11.8</v>
      </c>
      <c r="S6" s="28" t="n">
        <v>28000</v>
      </c>
      <c r="T6" s="29" t="n">
        <v>1</v>
      </c>
      <c r="U6" s="29" t="n">
        <v>2</v>
      </c>
      <c r="V6" s="26" t="n">
        <v>2000</v>
      </c>
      <c r="W6" s="28" t="n">
        <v>50000</v>
      </c>
      <c r="X6" s="26" t="s">
        <v>525</v>
      </c>
      <c r="Y6" s="26" t="n">
        <v>0.3</v>
      </c>
      <c r="Z6" s="26" t="s">
        <v>528</v>
      </c>
      <c r="AA6" s="27" t="s">
        <v>499</v>
      </c>
    </row>
  </sheetData>
  <autoFilter ref="A1:AA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15" min="4" style="0" width="16"/>
    <col collapsed="false" customWidth="true" hidden="false" outlineLevel="0" max="23" min="16" style="0" width="40"/>
    <col collapsed="false" customWidth="true" hidden="false" outlineLevel="0" max="35" min="24" style="0" width="16"/>
  </cols>
  <sheetData>
    <row r="1" customFormat="false" ht="45" hidden="false" customHeight="true" outlineLevel="0" collapsed="false">
      <c r="A1" s="9" t="s">
        <v>136</v>
      </c>
      <c r="B1" s="9" t="s">
        <v>137</v>
      </c>
      <c r="C1" s="9" t="s">
        <v>138</v>
      </c>
      <c r="D1" s="9" t="s">
        <v>141</v>
      </c>
      <c r="E1" s="9" t="s">
        <v>529</v>
      </c>
      <c r="F1" s="9" t="s">
        <v>530</v>
      </c>
      <c r="G1" s="9" t="s">
        <v>531</v>
      </c>
      <c r="H1" s="9" t="s">
        <v>532</v>
      </c>
      <c r="I1" s="9" t="s">
        <v>533</v>
      </c>
      <c r="J1" s="9" t="s">
        <v>534</v>
      </c>
      <c r="K1" s="9" t="s">
        <v>535</v>
      </c>
      <c r="L1" s="9" t="s">
        <v>536</v>
      </c>
      <c r="M1" s="9" t="s">
        <v>537</v>
      </c>
      <c r="N1" s="9" t="s">
        <v>538</v>
      </c>
      <c r="O1" s="9" t="s">
        <v>539</v>
      </c>
      <c r="P1" s="9" t="s">
        <v>540</v>
      </c>
      <c r="Q1" s="9" t="s">
        <v>541</v>
      </c>
      <c r="R1" s="9" t="s">
        <v>152</v>
      </c>
      <c r="S1" s="9" t="s">
        <v>153</v>
      </c>
      <c r="T1" s="9" t="s">
        <v>154</v>
      </c>
      <c r="U1" s="9" t="s">
        <v>155</v>
      </c>
      <c r="V1" s="9" t="s">
        <v>542</v>
      </c>
      <c r="W1" s="9" t="s">
        <v>543</v>
      </c>
      <c r="X1" s="9" t="s">
        <v>161</v>
      </c>
      <c r="Y1" s="9" t="s">
        <v>160</v>
      </c>
      <c r="Z1" s="9" t="s">
        <v>162</v>
      </c>
      <c r="AA1" s="9" t="s">
        <v>163</v>
      </c>
      <c r="AB1" s="9" t="s">
        <v>164</v>
      </c>
      <c r="AC1" s="9" t="s">
        <v>165</v>
      </c>
      <c r="AD1" s="9" t="s">
        <v>544</v>
      </c>
      <c r="AE1" s="9" t="s">
        <v>545</v>
      </c>
      <c r="AF1" s="9" t="s">
        <v>546</v>
      </c>
      <c r="AG1" s="9" t="s">
        <v>547</v>
      </c>
      <c r="AH1" s="9" t="s">
        <v>548</v>
      </c>
      <c r="AI1" s="9" t="s">
        <v>549</v>
      </c>
    </row>
    <row r="2" customFormat="false" ht="39.55" hidden="false" customHeight="false" outlineLevel="0" collapsed="false">
      <c r="A2" s="12" t="str">
        <f aca="false">B2&amp;" | "&amp;C2</f>
        <v>BOMAG | BM 1000/20</v>
      </c>
      <c r="B2" s="26" t="s">
        <v>167</v>
      </c>
      <c r="C2" s="26" t="s">
        <v>550</v>
      </c>
      <c r="D2" s="26" t="s">
        <v>551</v>
      </c>
      <c r="E2" s="26" t="s">
        <v>552</v>
      </c>
      <c r="F2" s="26" t="s">
        <v>553</v>
      </c>
      <c r="G2" s="26" t="s">
        <v>551</v>
      </c>
      <c r="H2" s="26" t="s">
        <v>554</v>
      </c>
      <c r="I2" s="26" t="s">
        <v>555</v>
      </c>
      <c r="J2" s="26" t="s">
        <v>556</v>
      </c>
      <c r="K2" s="26" t="s">
        <v>557</v>
      </c>
      <c r="L2" s="26" t="s">
        <v>558</v>
      </c>
      <c r="M2" s="26" t="s">
        <v>559</v>
      </c>
      <c r="N2" s="26" t="s">
        <v>560</v>
      </c>
      <c r="O2" s="26" t="s">
        <v>561</v>
      </c>
      <c r="P2" s="27" t="s">
        <v>562</v>
      </c>
      <c r="Q2" s="27" t="s">
        <v>563</v>
      </c>
      <c r="R2" s="27" t="s">
        <v>564</v>
      </c>
      <c r="S2" s="27" t="s">
        <v>565</v>
      </c>
      <c r="T2" s="27" t="s">
        <v>566</v>
      </c>
      <c r="U2" s="27" t="s">
        <v>567</v>
      </c>
      <c r="V2" s="27" t="s">
        <v>568</v>
      </c>
      <c r="W2" s="27" t="s">
        <v>569</v>
      </c>
      <c r="X2" s="28" t="n">
        <v>0</v>
      </c>
      <c r="Y2" s="26" t="n">
        <v>16</v>
      </c>
      <c r="Z2" s="29" t="n">
        <v>12</v>
      </c>
      <c r="AA2" s="29" t="n">
        <v>8</v>
      </c>
      <c r="AB2" s="26" t="n">
        <v>3000</v>
      </c>
      <c r="AC2" s="28" t="n">
        <v>0</v>
      </c>
      <c r="AD2" s="26" t="n">
        <v>92</v>
      </c>
      <c r="AE2" s="26" t="n">
        <v>40</v>
      </c>
      <c r="AF2" s="26" t="n">
        <v>0.38</v>
      </c>
      <c r="AG2" s="26" t="s">
        <v>570</v>
      </c>
      <c r="AH2" s="26" t="n">
        <v>20</v>
      </c>
      <c r="AI2" s="29" t="n">
        <v>15</v>
      </c>
    </row>
    <row r="3" customFormat="false" ht="26.85" hidden="false" customHeight="false" outlineLevel="0" collapsed="false">
      <c r="A3" s="12" t="str">
        <f aca="false">B3&amp;" | "&amp;C3</f>
        <v>SANY | SCM1000C-8</v>
      </c>
      <c r="B3" s="26" t="s">
        <v>359</v>
      </c>
      <c r="C3" s="26" t="s">
        <v>571</v>
      </c>
      <c r="D3" s="26" t="s">
        <v>572</v>
      </c>
      <c r="E3" s="26" t="s">
        <v>552</v>
      </c>
      <c r="F3" s="26" t="s">
        <v>573</v>
      </c>
      <c r="G3" s="26" t="s">
        <v>572</v>
      </c>
      <c r="H3" s="26" t="s">
        <v>574</v>
      </c>
      <c r="I3" s="26" t="s">
        <v>575</v>
      </c>
      <c r="J3" s="26" t="s">
        <v>556</v>
      </c>
      <c r="K3" s="26" t="s">
        <v>206</v>
      </c>
      <c r="L3" s="26" t="s">
        <v>576</v>
      </c>
      <c r="M3" s="26" t="s">
        <v>577</v>
      </c>
      <c r="N3" s="26" t="s">
        <v>578</v>
      </c>
      <c r="O3" s="26" t="s">
        <v>579</v>
      </c>
      <c r="P3" s="27" t="s">
        <v>580</v>
      </c>
      <c r="Q3" s="27" t="s">
        <v>581</v>
      </c>
      <c r="R3" s="27" t="s">
        <v>582</v>
      </c>
      <c r="S3" s="26" t="s">
        <v>583</v>
      </c>
      <c r="T3" s="27" t="s">
        <v>584</v>
      </c>
      <c r="U3" s="26" t="s">
        <v>585</v>
      </c>
      <c r="V3" s="27" t="s">
        <v>586</v>
      </c>
      <c r="W3" s="27" t="s">
        <v>587</v>
      </c>
      <c r="X3" s="28" t="n">
        <v>0</v>
      </c>
      <c r="Y3" s="26" t="n">
        <v>22</v>
      </c>
      <c r="Z3" s="29" t="n">
        <v>10</v>
      </c>
      <c r="AA3" s="29" t="n">
        <v>10</v>
      </c>
      <c r="AB3" s="26" t="n">
        <v>3000</v>
      </c>
      <c r="AC3" s="28" t="n">
        <v>0</v>
      </c>
      <c r="AD3" s="26" t="n">
        <v>0</v>
      </c>
      <c r="AE3" s="26" t="n">
        <v>35</v>
      </c>
      <c r="AF3" s="26" t="n">
        <v>1.2</v>
      </c>
      <c r="AG3" s="26" t="s">
        <v>588</v>
      </c>
      <c r="AH3" s="26"/>
      <c r="AI3" s="29" t="n">
        <v>20</v>
      </c>
    </row>
    <row r="4" customFormat="false" ht="26.85" hidden="false" customHeight="false" outlineLevel="0" collapsed="false">
      <c r="A4" s="12" t="str">
        <f aca="false">B4&amp;" | "&amp;C4</f>
        <v>XCMG | XM1005H</v>
      </c>
      <c r="B4" s="26" t="s">
        <v>331</v>
      </c>
      <c r="C4" s="26" t="s">
        <v>589</v>
      </c>
      <c r="D4" s="26" t="s">
        <v>590</v>
      </c>
      <c r="E4" s="26" t="s">
        <v>552</v>
      </c>
      <c r="F4" s="26" t="s">
        <v>591</v>
      </c>
      <c r="G4" s="26" t="s">
        <v>590</v>
      </c>
      <c r="H4" s="26" t="s">
        <v>554</v>
      </c>
      <c r="I4" s="26" t="s">
        <v>592</v>
      </c>
      <c r="J4" s="26" t="s">
        <v>593</v>
      </c>
      <c r="K4" s="26" t="s">
        <v>594</v>
      </c>
      <c r="L4" s="26" t="s">
        <v>558</v>
      </c>
      <c r="M4" s="26" t="s">
        <v>595</v>
      </c>
      <c r="N4" s="26" t="s">
        <v>596</v>
      </c>
      <c r="O4" s="26" t="s">
        <v>597</v>
      </c>
      <c r="P4" s="27" t="s">
        <v>598</v>
      </c>
      <c r="Q4" s="26" t="s">
        <v>599</v>
      </c>
      <c r="R4" s="27" t="s">
        <v>600</v>
      </c>
      <c r="S4" s="26" t="s">
        <v>601</v>
      </c>
      <c r="T4" s="27" t="s">
        <v>602</v>
      </c>
      <c r="U4" s="26" t="s">
        <v>603</v>
      </c>
      <c r="V4" s="27" t="s">
        <v>604</v>
      </c>
      <c r="W4" s="27" t="s">
        <v>605</v>
      </c>
      <c r="X4" s="28" t="n">
        <v>0</v>
      </c>
      <c r="Y4" s="26" t="n">
        <v>18</v>
      </c>
      <c r="Z4" s="29" t="n">
        <v>10</v>
      </c>
      <c r="AA4" s="29" t="n">
        <v>8</v>
      </c>
      <c r="AB4" s="26" t="n">
        <v>3000</v>
      </c>
      <c r="AC4" s="28" t="n">
        <v>0</v>
      </c>
      <c r="AD4" s="26" t="n">
        <v>84</v>
      </c>
      <c r="AE4" s="26" t="n">
        <v>50</v>
      </c>
      <c r="AF4" s="26"/>
      <c r="AG4" s="26" t="s">
        <v>588</v>
      </c>
      <c r="AH4" s="26"/>
      <c r="AI4" s="29" t="n">
        <v>17</v>
      </c>
    </row>
  </sheetData>
  <autoFilter ref="A1:AI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21" min="4" style="0" width="16"/>
    <col collapsed="false" customWidth="true" hidden="false" outlineLevel="0" max="22" min="22" style="0" width="40"/>
    <col collapsed="false" customWidth="true" hidden="false" outlineLevel="0" max="25" min="23" style="0" width="16"/>
    <col collapsed="false" customWidth="true" hidden="false" outlineLevel="0" max="26" min="26" style="0" width="40"/>
    <col collapsed="false" customWidth="true" hidden="false" outlineLevel="0" max="29" min="27" style="0" width="16"/>
    <col collapsed="false" customWidth="true" hidden="false" outlineLevel="0" max="30" min="30" style="0" width="40"/>
    <col collapsed="false" customWidth="true" hidden="false" outlineLevel="0" max="35" min="31" style="0" width="16"/>
    <col collapsed="false" customWidth="true" hidden="false" outlineLevel="0" max="36" min="36" style="0" width="40"/>
    <col collapsed="false" customWidth="true" hidden="false" outlineLevel="0" max="41" min="37" style="0" width="16"/>
    <col collapsed="false" customWidth="true" hidden="false" outlineLevel="0" max="43" min="42" style="0" width="40"/>
    <col collapsed="false" customWidth="true" hidden="false" outlineLevel="0" max="61" min="44" style="0" width="16"/>
  </cols>
  <sheetData>
    <row r="1" customFormat="false" ht="45" hidden="false" customHeight="true" outlineLevel="0" collapsed="false">
      <c r="A1" s="9" t="s">
        <v>136</v>
      </c>
      <c r="B1" s="9" t="s">
        <v>137</v>
      </c>
      <c r="C1" s="9" t="s">
        <v>138</v>
      </c>
      <c r="D1" s="9" t="s">
        <v>606</v>
      </c>
      <c r="E1" s="9" t="s">
        <v>607</v>
      </c>
      <c r="F1" s="9" t="s">
        <v>608</v>
      </c>
      <c r="G1" s="9" t="s">
        <v>609</v>
      </c>
      <c r="H1" s="9" t="s">
        <v>610</v>
      </c>
      <c r="I1" s="9" t="s">
        <v>611</v>
      </c>
      <c r="J1" s="9" t="s">
        <v>612</v>
      </c>
      <c r="K1" s="9" t="s">
        <v>534</v>
      </c>
      <c r="L1" s="9" t="s">
        <v>613</v>
      </c>
      <c r="M1" s="9" t="s">
        <v>614</v>
      </c>
      <c r="N1" s="9" t="s">
        <v>615</v>
      </c>
      <c r="O1" s="9" t="s">
        <v>616</v>
      </c>
      <c r="P1" s="9" t="s">
        <v>617</v>
      </c>
      <c r="Q1" s="9" t="s">
        <v>618</v>
      </c>
      <c r="R1" s="9" t="s">
        <v>619</v>
      </c>
      <c r="S1" s="9" t="s">
        <v>620</v>
      </c>
      <c r="T1" s="9" t="s">
        <v>621</v>
      </c>
      <c r="U1" s="9" t="s">
        <v>622</v>
      </c>
      <c r="V1" s="9" t="s">
        <v>623</v>
      </c>
      <c r="W1" s="9" t="s">
        <v>624</v>
      </c>
      <c r="X1" s="9" t="s">
        <v>625</v>
      </c>
      <c r="Y1" s="9" t="s">
        <v>626</v>
      </c>
      <c r="Z1" s="9" t="s">
        <v>538</v>
      </c>
      <c r="AA1" s="9" t="s">
        <v>627</v>
      </c>
      <c r="AB1" s="9" t="s">
        <v>628</v>
      </c>
      <c r="AC1" s="9" t="s">
        <v>629</v>
      </c>
      <c r="AD1" s="9" t="s">
        <v>630</v>
      </c>
      <c r="AE1" s="9" t="s">
        <v>631</v>
      </c>
      <c r="AF1" s="9" t="s">
        <v>632</v>
      </c>
      <c r="AG1" s="9" t="s">
        <v>633</v>
      </c>
      <c r="AH1" s="9" t="s">
        <v>634</v>
      </c>
      <c r="AI1" s="9" t="s">
        <v>141</v>
      </c>
      <c r="AJ1" s="9" t="s">
        <v>152</v>
      </c>
      <c r="AK1" s="9" t="s">
        <v>153</v>
      </c>
      <c r="AL1" s="9" t="s">
        <v>154</v>
      </c>
      <c r="AM1" s="9" t="s">
        <v>155</v>
      </c>
      <c r="AN1" s="9" t="s">
        <v>156</v>
      </c>
      <c r="AO1" s="9" t="s">
        <v>157</v>
      </c>
      <c r="AP1" s="9" t="s">
        <v>635</v>
      </c>
      <c r="AQ1" s="9" t="s">
        <v>636</v>
      </c>
      <c r="AR1" s="9" t="s">
        <v>637</v>
      </c>
      <c r="AS1" s="9" t="s">
        <v>638</v>
      </c>
      <c r="AT1" s="9" t="s">
        <v>639</v>
      </c>
      <c r="AU1" s="9" t="s">
        <v>640</v>
      </c>
      <c r="AV1" s="9" t="s">
        <v>641</v>
      </c>
      <c r="AW1" s="9" t="s">
        <v>642</v>
      </c>
      <c r="AX1" s="9" t="s">
        <v>643</v>
      </c>
      <c r="AY1" s="9" t="s">
        <v>644</v>
      </c>
      <c r="AZ1" s="9" t="s">
        <v>645</v>
      </c>
      <c r="BA1" s="9" t="s">
        <v>646</v>
      </c>
      <c r="BB1" s="9" t="s">
        <v>647</v>
      </c>
      <c r="BC1" s="9" t="s">
        <v>648</v>
      </c>
      <c r="BD1" s="9" t="s">
        <v>649</v>
      </c>
      <c r="BE1" s="9" t="s">
        <v>650</v>
      </c>
      <c r="BF1" s="9" t="s">
        <v>651</v>
      </c>
      <c r="BG1" s="9" t="s">
        <v>652</v>
      </c>
      <c r="BH1" s="9" t="s">
        <v>653</v>
      </c>
      <c r="BI1" s="9" t="s">
        <v>654</v>
      </c>
    </row>
    <row r="2" customFormat="false" ht="52.2" hidden="false" customHeight="false" outlineLevel="0" collapsed="false">
      <c r="A2" s="12" t="str">
        <f aca="false">B2&amp;" | "&amp;C2</f>
        <v>CATERPILLAR | AP655</v>
      </c>
      <c r="B2" s="26" t="s">
        <v>304</v>
      </c>
      <c r="C2" s="26" t="s">
        <v>655</v>
      </c>
      <c r="D2" s="26" t="s">
        <v>656</v>
      </c>
      <c r="E2" s="26" t="s">
        <v>657</v>
      </c>
      <c r="F2" s="26" t="s">
        <v>658</v>
      </c>
      <c r="G2" s="26" t="s">
        <v>659</v>
      </c>
      <c r="H2" s="26" t="s">
        <v>660</v>
      </c>
      <c r="I2" s="26" t="s">
        <v>661</v>
      </c>
      <c r="J2" s="26" t="s">
        <v>662</v>
      </c>
      <c r="K2" s="26" t="s">
        <v>663</v>
      </c>
      <c r="L2" s="26" t="s">
        <v>664</v>
      </c>
      <c r="M2" s="26" t="s">
        <v>665</v>
      </c>
      <c r="N2" s="26" t="s">
        <v>666</v>
      </c>
      <c r="O2" s="26" t="s">
        <v>667</v>
      </c>
      <c r="P2" s="27" t="s">
        <v>668</v>
      </c>
      <c r="Q2" s="26" t="s">
        <v>669</v>
      </c>
      <c r="R2" s="26" t="s">
        <v>670</v>
      </c>
      <c r="S2" s="26" t="s">
        <v>671</v>
      </c>
      <c r="T2" s="26" t="s">
        <v>672</v>
      </c>
      <c r="U2" s="27" t="s">
        <v>673</v>
      </c>
      <c r="V2" s="27" t="s">
        <v>674</v>
      </c>
      <c r="W2" s="26" t="s">
        <v>675</v>
      </c>
      <c r="X2" s="26" t="s">
        <v>676</v>
      </c>
      <c r="Y2" s="26" t="s">
        <v>677</v>
      </c>
      <c r="Z2" s="27" t="s">
        <v>678</v>
      </c>
      <c r="AA2" s="26" t="s">
        <v>679</v>
      </c>
      <c r="AB2" s="26" t="s">
        <v>680</v>
      </c>
      <c r="AC2" s="26" t="s">
        <v>681</v>
      </c>
      <c r="AD2" s="27" t="s">
        <v>682</v>
      </c>
      <c r="AE2" s="26" t="s">
        <v>683</v>
      </c>
      <c r="AF2" s="27" t="s">
        <v>684</v>
      </c>
      <c r="AG2" s="26" t="s">
        <v>685</v>
      </c>
      <c r="AH2" s="26" t="s">
        <v>686</v>
      </c>
      <c r="AI2" s="26" t="s">
        <v>657</v>
      </c>
      <c r="AJ2" s="27" t="s">
        <v>687</v>
      </c>
      <c r="AK2" s="26" t="s">
        <v>688</v>
      </c>
      <c r="AL2" s="26" t="s">
        <v>689</v>
      </c>
      <c r="AM2" s="26" t="s">
        <v>690</v>
      </c>
      <c r="AN2" s="26" t="s">
        <v>691</v>
      </c>
      <c r="AO2" s="26" t="s">
        <v>672</v>
      </c>
      <c r="AP2" s="27" t="s">
        <v>692</v>
      </c>
      <c r="AQ2" s="27" t="s">
        <v>693</v>
      </c>
      <c r="AR2" s="26" t="s">
        <v>694</v>
      </c>
      <c r="AS2" s="26" t="s">
        <v>695</v>
      </c>
      <c r="AT2" s="26" t="s">
        <v>696</v>
      </c>
      <c r="AU2" s="26" t="s">
        <v>697</v>
      </c>
      <c r="AV2" s="26" t="s">
        <v>698</v>
      </c>
      <c r="AW2" s="26" t="s">
        <v>696</v>
      </c>
      <c r="AX2" s="26" t="s">
        <v>696</v>
      </c>
      <c r="AY2" s="26" t="s">
        <v>699</v>
      </c>
      <c r="AZ2" s="26" t="s">
        <v>700</v>
      </c>
      <c r="BA2" s="26" t="s">
        <v>701</v>
      </c>
      <c r="BB2" s="26" t="s">
        <v>702</v>
      </c>
      <c r="BC2" s="26" t="s">
        <v>703</v>
      </c>
      <c r="BD2" s="26" t="s">
        <v>704</v>
      </c>
      <c r="BE2" s="26" t="s">
        <v>704</v>
      </c>
      <c r="BF2" s="26" t="s">
        <v>704</v>
      </c>
      <c r="BG2" s="26" t="s">
        <v>705</v>
      </c>
      <c r="BH2" s="26" t="s">
        <v>706</v>
      </c>
      <c r="BI2" s="26" t="s">
        <v>707</v>
      </c>
    </row>
    <row r="3" customFormat="false" ht="64.9" hidden="false" customHeight="false" outlineLevel="0" collapsed="false">
      <c r="A3" s="12" t="str">
        <f aca="false">B3&amp;" | "&amp;C3</f>
        <v>BOMAG | BF600 C-3</v>
      </c>
      <c r="B3" s="26" t="s">
        <v>167</v>
      </c>
      <c r="C3" s="26" t="s">
        <v>708</v>
      </c>
      <c r="D3" s="26" t="s">
        <v>709</v>
      </c>
      <c r="E3" s="26" t="s">
        <v>710</v>
      </c>
      <c r="F3" s="26" t="s">
        <v>711</v>
      </c>
      <c r="G3" s="26" t="s">
        <v>712</v>
      </c>
      <c r="H3" s="26" t="s">
        <v>713</v>
      </c>
      <c r="I3" s="26" t="s">
        <v>714</v>
      </c>
      <c r="J3" s="26" t="s">
        <v>662</v>
      </c>
      <c r="K3" s="26" t="s">
        <v>715</v>
      </c>
      <c r="L3" s="26" t="s">
        <v>716</v>
      </c>
      <c r="M3" s="26" t="s">
        <v>717</v>
      </c>
      <c r="N3" s="26" t="s">
        <v>718</v>
      </c>
      <c r="O3" s="26" t="s">
        <v>719</v>
      </c>
      <c r="P3" s="27" t="s">
        <v>720</v>
      </c>
      <c r="Q3" s="26" t="s">
        <v>721</v>
      </c>
      <c r="R3" s="26" t="s">
        <v>722</v>
      </c>
      <c r="S3" s="27" t="s">
        <v>723</v>
      </c>
      <c r="T3" s="26" t="s">
        <v>724</v>
      </c>
      <c r="U3" s="27" t="s">
        <v>725</v>
      </c>
      <c r="V3" s="27" t="s">
        <v>726</v>
      </c>
      <c r="W3" s="26" t="s">
        <v>727</v>
      </c>
      <c r="X3" s="27" t="s">
        <v>728</v>
      </c>
      <c r="Y3" s="26" t="s">
        <v>729</v>
      </c>
      <c r="Z3" s="27" t="s">
        <v>730</v>
      </c>
      <c r="AA3" s="26" t="s">
        <v>731</v>
      </c>
      <c r="AB3" s="26" t="s">
        <v>732</v>
      </c>
      <c r="AC3" s="26" t="s">
        <v>733</v>
      </c>
      <c r="AD3" s="27" t="s">
        <v>734</v>
      </c>
      <c r="AE3" s="27" t="s">
        <v>735</v>
      </c>
      <c r="AF3" s="27" t="s">
        <v>736</v>
      </c>
      <c r="AG3" s="26" t="s">
        <v>737</v>
      </c>
      <c r="AH3" s="26" t="s">
        <v>738</v>
      </c>
      <c r="AI3" s="26" t="s">
        <v>710</v>
      </c>
      <c r="AJ3" s="27" t="s">
        <v>739</v>
      </c>
      <c r="AK3" s="27" t="s">
        <v>740</v>
      </c>
      <c r="AL3" s="27" t="s">
        <v>741</v>
      </c>
      <c r="AM3" s="27" t="s">
        <v>742</v>
      </c>
      <c r="AN3" s="27" t="s">
        <v>743</v>
      </c>
      <c r="AO3" s="26" t="s">
        <v>724</v>
      </c>
      <c r="AP3" s="27" t="s">
        <v>744</v>
      </c>
      <c r="AQ3" s="27" t="s">
        <v>745</v>
      </c>
      <c r="AR3" s="26" t="s">
        <v>746</v>
      </c>
      <c r="AS3" s="26" t="s">
        <v>747</v>
      </c>
      <c r="AT3" s="26" t="s">
        <v>748</v>
      </c>
      <c r="AU3" s="26" t="s">
        <v>749</v>
      </c>
      <c r="AV3" s="26" t="s">
        <v>750</v>
      </c>
      <c r="AW3" s="27" t="s">
        <v>751</v>
      </c>
      <c r="AX3" s="27" t="s">
        <v>752</v>
      </c>
      <c r="AY3" s="26" t="s">
        <v>753</v>
      </c>
      <c r="AZ3" s="26" t="s">
        <v>754</v>
      </c>
      <c r="BA3" s="26" t="s">
        <v>755</v>
      </c>
      <c r="BB3" s="26" t="s">
        <v>756</v>
      </c>
      <c r="BC3" s="26" t="s">
        <v>757</v>
      </c>
      <c r="BD3" s="26" t="s">
        <v>758</v>
      </c>
      <c r="BE3" s="26" t="s">
        <v>704</v>
      </c>
      <c r="BF3" s="26" t="s">
        <v>758</v>
      </c>
      <c r="BG3" s="26" t="s">
        <v>759</v>
      </c>
      <c r="BH3" s="26" t="s">
        <v>696</v>
      </c>
      <c r="BI3" s="26" t="s">
        <v>760</v>
      </c>
    </row>
    <row r="4" customFormat="false" ht="39.55" hidden="false" customHeight="false" outlineLevel="0" collapsed="false">
      <c r="A4" s="12" t="str">
        <f aca="false">B4&amp;" | "&amp;C4</f>
        <v>VÖGELE | Super 1800-3</v>
      </c>
      <c r="B4" s="26" t="s">
        <v>761</v>
      </c>
      <c r="C4" s="26" t="s">
        <v>762</v>
      </c>
      <c r="D4" s="26" t="s">
        <v>763</v>
      </c>
      <c r="E4" s="26" t="s">
        <v>764</v>
      </c>
      <c r="F4" s="26" t="s">
        <v>765</v>
      </c>
      <c r="G4" s="26" t="s">
        <v>766</v>
      </c>
      <c r="H4" s="26" t="s">
        <v>767</v>
      </c>
      <c r="I4" s="26" t="s">
        <v>768</v>
      </c>
      <c r="J4" s="26" t="s">
        <v>769</v>
      </c>
      <c r="K4" s="26" t="s">
        <v>770</v>
      </c>
      <c r="L4" s="26" t="s">
        <v>716</v>
      </c>
      <c r="M4" s="26" t="s">
        <v>771</v>
      </c>
      <c r="N4" s="26" t="s">
        <v>772</v>
      </c>
      <c r="O4" s="26" t="s">
        <v>773</v>
      </c>
      <c r="P4" s="27" t="s">
        <v>774</v>
      </c>
      <c r="Q4" s="26" t="s">
        <v>775</v>
      </c>
      <c r="R4" s="26" t="s">
        <v>776</v>
      </c>
      <c r="S4" s="27" t="s">
        <v>777</v>
      </c>
      <c r="T4" s="27" t="s">
        <v>778</v>
      </c>
      <c r="U4" s="27" t="s">
        <v>779</v>
      </c>
      <c r="V4" s="27" t="s">
        <v>780</v>
      </c>
      <c r="W4" s="26" t="s">
        <v>781</v>
      </c>
      <c r="X4" s="26" t="s">
        <v>782</v>
      </c>
      <c r="Y4" s="26" t="s">
        <v>677</v>
      </c>
      <c r="Z4" s="27" t="s">
        <v>783</v>
      </c>
      <c r="AA4" s="26" t="s">
        <v>784</v>
      </c>
      <c r="AB4" s="26" t="s">
        <v>785</v>
      </c>
      <c r="AC4" s="26" t="s">
        <v>786</v>
      </c>
      <c r="AD4" s="27" t="s">
        <v>787</v>
      </c>
      <c r="AE4" s="26" t="s">
        <v>788</v>
      </c>
      <c r="AF4" s="27" t="s">
        <v>789</v>
      </c>
      <c r="AG4" s="26" t="s">
        <v>677</v>
      </c>
      <c r="AH4" s="26" t="s">
        <v>790</v>
      </c>
      <c r="AI4" s="26" t="s">
        <v>764</v>
      </c>
      <c r="AJ4" s="27" t="s">
        <v>791</v>
      </c>
      <c r="AK4" s="26" t="s">
        <v>688</v>
      </c>
      <c r="AL4" s="26" t="s">
        <v>792</v>
      </c>
      <c r="AM4" s="27" t="s">
        <v>793</v>
      </c>
      <c r="AN4" s="26" t="s">
        <v>794</v>
      </c>
      <c r="AO4" s="27" t="s">
        <v>795</v>
      </c>
      <c r="AP4" s="26" t="s">
        <v>796</v>
      </c>
      <c r="AQ4" s="27" t="s">
        <v>693</v>
      </c>
      <c r="AR4" s="26" t="s">
        <v>695</v>
      </c>
      <c r="AS4" s="26" t="s">
        <v>695</v>
      </c>
      <c r="AT4" s="26" t="s">
        <v>696</v>
      </c>
      <c r="AU4" s="26" t="s">
        <v>697</v>
      </c>
      <c r="AV4" s="26" t="s">
        <v>695</v>
      </c>
      <c r="AW4" s="26" t="s">
        <v>696</v>
      </c>
      <c r="AX4" s="26" t="s">
        <v>696</v>
      </c>
      <c r="AY4" s="26" t="s">
        <v>797</v>
      </c>
      <c r="AZ4" s="26" t="s">
        <v>700</v>
      </c>
      <c r="BA4" s="26" t="s">
        <v>701</v>
      </c>
      <c r="BB4" s="26" t="s">
        <v>702</v>
      </c>
      <c r="BC4" s="26" t="s">
        <v>703</v>
      </c>
      <c r="BD4" s="26" t="s">
        <v>704</v>
      </c>
      <c r="BE4" s="26" t="s">
        <v>704</v>
      </c>
      <c r="BF4" s="26" t="s">
        <v>704</v>
      </c>
      <c r="BG4" s="26" t="s">
        <v>705</v>
      </c>
      <c r="BH4" s="26" t="s">
        <v>706</v>
      </c>
      <c r="BI4" s="26" t="s">
        <v>707</v>
      </c>
    </row>
    <row r="5" customFormat="false" ht="52.2" hidden="false" customHeight="false" outlineLevel="0" collapsed="false">
      <c r="A5" s="12" t="str">
        <f aca="false">B5&amp;" | "&amp;C5</f>
        <v>DYNAPAC | SD2500CS</v>
      </c>
      <c r="B5" s="26" t="s">
        <v>232</v>
      </c>
      <c r="C5" s="26" t="s">
        <v>798</v>
      </c>
      <c r="D5" s="26" t="s">
        <v>799</v>
      </c>
      <c r="E5" s="26" t="s">
        <v>800</v>
      </c>
      <c r="F5" s="26" t="s">
        <v>801</v>
      </c>
      <c r="G5" s="26" t="s">
        <v>802</v>
      </c>
      <c r="H5" s="26" t="s">
        <v>803</v>
      </c>
      <c r="I5" s="26" t="s">
        <v>804</v>
      </c>
      <c r="J5" s="26" t="s">
        <v>805</v>
      </c>
      <c r="K5" s="26" t="s">
        <v>715</v>
      </c>
      <c r="L5" s="26" t="s">
        <v>806</v>
      </c>
      <c r="M5" s="26" t="s">
        <v>807</v>
      </c>
      <c r="N5" s="26" t="s">
        <v>808</v>
      </c>
      <c r="O5" s="26" t="s">
        <v>809</v>
      </c>
      <c r="P5" s="27" t="s">
        <v>810</v>
      </c>
      <c r="Q5" s="26" t="s">
        <v>811</v>
      </c>
      <c r="R5" s="26" t="s">
        <v>812</v>
      </c>
      <c r="S5" s="27" t="s">
        <v>813</v>
      </c>
      <c r="T5" s="27" t="s">
        <v>814</v>
      </c>
      <c r="U5" s="27" t="s">
        <v>815</v>
      </c>
      <c r="V5" s="27" t="s">
        <v>816</v>
      </c>
      <c r="W5" s="27" t="s">
        <v>817</v>
      </c>
      <c r="X5" s="26" t="s">
        <v>818</v>
      </c>
      <c r="Y5" s="26" t="s">
        <v>677</v>
      </c>
      <c r="Z5" s="26" t="s">
        <v>819</v>
      </c>
      <c r="AA5" s="26" t="s">
        <v>820</v>
      </c>
      <c r="AB5" s="26" t="s">
        <v>785</v>
      </c>
      <c r="AC5" s="26" t="s">
        <v>786</v>
      </c>
      <c r="AD5" s="27" t="s">
        <v>821</v>
      </c>
      <c r="AE5" s="27" t="s">
        <v>822</v>
      </c>
      <c r="AF5" s="27" t="s">
        <v>823</v>
      </c>
      <c r="AG5" s="26" t="s">
        <v>824</v>
      </c>
      <c r="AH5" s="26" t="s">
        <v>825</v>
      </c>
      <c r="AI5" s="26" t="s">
        <v>800</v>
      </c>
      <c r="AJ5" s="27" t="s">
        <v>826</v>
      </c>
      <c r="AK5" s="27" t="s">
        <v>827</v>
      </c>
      <c r="AL5" s="26" t="s">
        <v>828</v>
      </c>
      <c r="AM5" s="26" t="s">
        <v>829</v>
      </c>
      <c r="AN5" s="26" t="s">
        <v>830</v>
      </c>
      <c r="AO5" s="27" t="s">
        <v>831</v>
      </c>
      <c r="AP5" s="26" t="s">
        <v>832</v>
      </c>
      <c r="AQ5" s="27" t="s">
        <v>693</v>
      </c>
      <c r="AR5" s="26" t="s">
        <v>833</v>
      </c>
      <c r="AS5" s="26" t="s">
        <v>834</v>
      </c>
      <c r="AT5" s="26" t="s">
        <v>835</v>
      </c>
      <c r="AU5" s="26" t="s">
        <v>836</v>
      </c>
      <c r="AV5" s="26" t="s">
        <v>837</v>
      </c>
      <c r="AW5" s="26" t="s">
        <v>696</v>
      </c>
      <c r="AX5" s="26" t="s">
        <v>696</v>
      </c>
      <c r="AY5" s="26" t="s">
        <v>838</v>
      </c>
      <c r="AZ5" s="26" t="s">
        <v>839</v>
      </c>
      <c r="BA5" s="26" t="s">
        <v>701</v>
      </c>
      <c r="BB5" s="26" t="s">
        <v>702</v>
      </c>
      <c r="BC5" s="26" t="s">
        <v>703</v>
      </c>
      <c r="BD5" s="26" t="s">
        <v>704</v>
      </c>
      <c r="BE5" s="26" t="s">
        <v>704</v>
      </c>
      <c r="BF5" s="26" t="s">
        <v>704</v>
      </c>
      <c r="BG5" s="26" t="s">
        <v>705</v>
      </c>
      <c r="BH5" s="26" t="s">
        <v>706</v>
      </c>
      <c r="BI5" s="26" t="s">
        <v>840</v>
      </c>
    </row>
  </sheetData>
  <autoFilter ref="A1:BI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7"/>
    <col collapsed="false" customWidth="true" hidden="false" outlineLevel="0" max="3" min="3" style="0" width="13"/>
    <col collapsed="false" customWidth="true" hidden="false" outlineLevel="0" max="4" min="4" style="0" width="18"/>
    <col collapsed="false" customWidth="true" hidden="false" outlineLevel="0" max="5" min="5" style="0" width="10"/>
    <col collapsed="false" customWidth="true" hidden="false" outlineLevel="0" max="6" min="6" style="0" width="13"/>
    <col collapsed="false" customWidth="true" hidden="false" outlineLevel="0" max="7" min="7" style="0" width="10"/>
    <col collapsed="false" customWidth="true" hidden="false" outlineLevel="0" max="10" min="8" style="0" width="12"/>
    <col collapsed="false" customWidth="true" hidden="false" outlineLevel="0" max="16" min="11" style="0" width="10"/>
    <col collapsed="false" customWidth="true" hidden="false" outlineLevel="0" max="18" min="17" style="0" width="11"/>
    <col collapsed="false" customWidth="true" hidden="false" outlineLevel="0" max="19" min="19" style="0" width="12"/>
    <col collapsed="false" customWidth="true" hidden="false" outlineLevel="0" max="20" min="20" style="0" width="11"/>
    <col collapsed="false" customWidth="true" hidden="false" outlineLevel="0" max="21" min="21" style="0" width="12"/>
    <col collapsed="false" customWidth="true" hidden="false" outlineLevel="0" max="24" min="22" style="0" width="13"/>
    <col collapsed="false" customWidth="true" hidden="false" outlineLevel="0" max="25" min="25" style="0" width="11"/>
    <col collapsed="false" customWidth="true" hidden="false" outlineLevel="0" max="26" min="26" style="0" width="13"/>
    <col collapsed="false" customWidth="true" hidden="false" outlineLevel="0" max="27" min="27" style="0" width="14"/>
    <col collapsed="false" customWidth="true" hidden="false" outlineLevel="0" max="29" min="28" style="0" width="12"/>
    <col collapsed="false" customWidth="true" hidden="false" outlineLevel="0" max="31" min="30" style="0" width="15"/>
  </cols>
  <sheetData>
    <row r="1" customFormat="false" ht="17.35" hidden="false" customHeight="false" outlineLevel="0" collapsed="false">
      <c r="A1" s="1" t="s">
        <v>841</v>
      </c>
    </row>
    <row r="2" customFormat="false" ht="15" hidden="false" customHeight="false" outlineLevel="0" collapsed="false">
      <c r="A2" s="2" t="s">
        <v>842</v>
      </c>
    </row>
    <row r="4" customFormat="false" ht="45" hidden="false" customHeight="true" outlineLevel="0" collapsed="false">
      <c r="A4" s="9" t="s">
        <v>136</v>
      </c>
      <c r="B4" s="9" t="s">
        <v>843</v>
      </c>
      <c r="C4" s="9" t="s">
        <v>137</v>
      </c>
      <c r="D4" s="9" t="s">
        <v>138</v>
      </c>
      <c r="E4" s="9" t="s">
        <v>140</v>
      </c>
      <c r="F4" s="9" t="s">
        <v>844</v>
      </c>
      <c r="G4" s="9" t="s">
        <v>845</v>
      </c>
      <c r="H4" s="9" t="s">
        <v>162</v>
      </c>
      <c r="I4" s="9" t="s">
        <v>163</v>
      </c>
      <c r="J4" s="9" t="s">
        <v>846</v>
      </c>
      <c r="K4" s="9" t="s">
        <v>847</v>
      </c>
      <c r="L4" s="9" t="s">
        <v>848</v>
      </c>
      <c r="M4" s="9" t="s">
        <v>849</v>
      </c>
      <c r="N4" s="9" t="s">
        <v>850</v>
      </c>
      <c r="O4" s="9" t="s">
        <v>851</v>
      </c>
      <c r="P4" s="9" t="s">
        <v>852</v>
      </c>
      <c r="Q4" s="9" t="s">
        <v>853</v>
      </c>
      <c r="R4" s="9" t="s">
        <v>854</v>
      </c>
      <c r="S4" s="9" t="s">
        <v>855</v>
      </c>
      <c r="T4" s="9" t="s">
        <v>856</v>
      </c>
      <c r="U4" s="9" t="s">
        <v>857</v>
      </c>
      <c r="V4" s="9" t="s">
        <v>858</v>
      </c>
      <c r="W4" s="9" t="s">
        <v>859</v>
      </c>
      <c r="X4" s="9" t="s">
        <v>860</v>
      </c>
      <c r="Y4" s="9" t="s">
        <v>861</v>
      </c>
      <c r="Z4" s="9" t="s">
        <v>862</v>
      </c>
      <c r="AA4" s="9" t="s">
        <v>863</v>
      </c>
      <c r="AB4" s="9" t="s">
        <v>864</v>
      </c>
      <c r="AC4" s="9" t="s">
        <v>865</v>
      </c>
      <c r="AD4" s="9" t="s">
        <v>866</v>
      </c>
      <c r="AE4" s="9" t="s">
        <v>867</v>
      </c>
    </row>
    <row r="5" customFormat="false" ht="15" hidden="false" customHeight="false" outlineLevel="0" collapsed="false">
      <c r="A5" s="12" t="str">
        <f aca="false">B5&amp;" | "&amp;C5&amp;" | "&amp;D5&amp;" (mat. 93500000)"</f>
        <v>SDR | BOMAG | BW211 D-5 SL (mat. 93500000)</v>
      </c>
      <c r="B5" s="26" t="s">
        <v>868</v>
      </c>
      <c r="C5" s="30" t="str">
        <f aca="false">'Datos SDR'!$B$2</f>
        <v>BOMAG</v>
      </c>
      <c r="D5" s="30" t="str">
        <f aca="false">'Datos SDR'!$C$2</f>
        <v>BW211 D-5 SL</v>
      </c>
      <c r="E5" s="31" t="n">
        <f aca="false">'Datos SDR'!$E$2</f>
        <v>10630</v>
      </c>
      <c r="F5" s="32" t="n">
        <f aca="false">'Datos SDR'!$Z$2</f>
        <v>57592.78</v>
      </c>
      <c r="G5" s="33" t="n">
        <f aca="false">'Datos SDR'!$Y$2</f>
        <v>11.8</v>
      </c>
      <c r="H5" s="34" t="n">
        <f aca="false">'Datos SDR'!$AA$2</f>
        <v>1</v>
      </c>
      <c r="I5" s="34" t="n">
        <f aca="false">'Datos SDR'!$AB$2</f>
        <v>2</v>
      </c>
      <c r="J5" s="28" t="n">
        <v>0</v>
      </c>
      <c r="K5" s="26" t="s">
        <v>570</v>
      </c>
      <c r="L5" s="26" t="s">
        <v>588</v>
      </c>
      <c r="M5" s="35" t="n">
        <v>672</v>
      </c>
      <c r="N5" s="35" t="n">
        <v>472</v>
      </c>
      <c r="O5" s="35" t="n">
        <v>417</v>
      </c>
      <c r="P5" s="35" t="n">
        <v>209</v>
      </c>
      <c r="Q5" s="36" t="n">
        <f aca="false">INDEX(M5:P5,MATCH(TipoSuelo,{"Roca","Grava","Suelo mixto","Arcilla"},0))</f>
        <v>417</v>
      </c>
      <c r="R5" s="36" t="n">
        <f aca="false">Q5*IF(AND(C5="BOMAG",L5="SÍ"),MultTecBOMAG,1)</f>
        <v>417</v>
      </c>
      <c r="S5" s="36" t="n">
        <f aca="false">R5*Eficiencia</f>
        <v>417</v>
      </c>
      <c r="T5" s="37" t="n">
        <f aca="false">IF(AND(S5&gt;0,VolumenCompactacion&gt;0),VolumenCompactacion/S5,0)</f>
        <v>0</v>
      </c>
      <c r="U5" s="38" t="n">
        <f aca="false">G5*PrecioDiesel+H5+I5</f>
        <v>17.16</v>
      </c>
      <c r="V5" s="39" t="n">
        <f aca="false">T5*U5</f>
        <v>0</v>
      </c>
      <c r="W5" s="39" t="n">
        <f aca="false">G5*HorasOperacion*PrecioDiesel</f>
        <v>42480</v>
      </c>
      <c r="X5" s="39" t="n">
        <f aca="false">HorasOperacion*(H5+I5)</f>
        <v>9000</v>
      </c>
      <c r="Y5" s="37" t="n">
        <f aca="false">IF(AND(B5="SDR",K5="NO"),HorasOperacion/JuntaIntervalo,0)</f>
        <v>0</v>
      </c>
      <c r="Z5" s="39" t="n">
        <f aca="false">Y5*JuntaHorasIntervencion*(JuntaTecnico+JuntaParada)+Y5*JuntaGrasa</f>
        <v>0</v>
      </c>
      <c r="AA5" s="40" t="n">
        <f aca="false">F5+W5+X5+Z5-J5</f>
        <v>109072.78</v>
      </c>
      <c r="AB5" s="38" t="n">
        <f aca="false">U5+IF(Y5&gt;0,(JuntaHorasIntervencion*(JuntaTecnico+JuntaParada)+JuntaGrasa)/JuntaIntervalo,0)</f>
        <v>17.16</v>
      </c>
      <c r="AC5" s="38" t="n">
        <f aca="false">IF(HorasOperacion&gt;0,AA5/HorasOperacion,0)</f>
        <v>36.3575933333333</v>
      </c>
      <c r="AD5" s="36" t="n">
        <f aca="false">AA5*TasaMoneda</f>
        <v>109072.78</v>
      </c>
      <c r="AE5" s="39" t="n">
        <f aca="false">IFERROR(AA5-INDEX($AA$5:$AA$64,MATCH(1,INDEX((B$5:B$64=B5)*(C$5:C$64="BOMAG"),0),0)),0)</f>
        <v>0</v>
      </c>
    </row>
    <row r="6" customFormat="false" ht="15" hidden="false" customHeight="false" outlineLevel="0" collapsed="false">
      <c r="A6" s="12" t="str">
        <f aca="false">B6&amp;" | "&amp;C6&amp;" | "&amp;D6&amp;" (mat. 93500004)"</f>
        <v>SDR | BOMAG | BW211 D-5 SL (mat. 93500004)</v>
      </c>
      <c r="B6" s="26" t="s">
        <v>868</v>
      </c>
      <c r="C6" s="30" t="str">
        <f aca="false">'Datos SDR'!$B$3</f>
        <v>BOMAG</v>
      </c>
      <c r="D6" s="30" t="str">
        <f aca="false">'Datos SDR'!$C$3</f>
        <v>BW211 D-5 SL</v>
      </c>
      <c r="E6" s="31" t="n">
        <f aca="false">'Datos SDR'!$E$3</f>
        <v>10630</v>
      </c>
      <c r="F6" s="32" t="n">
        <f aca="false">'Datos SDR'!$Z$3</f>
        <v>59374</v>
      </c>
      <c r="G6" s="33" t="n">
        <f aca="false">'Datos SDR'!$Y$3</f>
        <v>11.8</v>
      </c>
      <c r="H6" s="34" t="n">
        <f aca="false">'Datos SDR'!$AA$3</f>
        <v>1</v>
      </c>
      <c r="I6" s="34" t="n">
        <f aca="false">'Datos SDR'!$AB$3</f>
        <v>2</v>
      </c>
      <c r="J6" s="28" t="n">
        <v>0</v>
      </c>
      <c r="K6" s="26" t="s">
        <v>570</v>
      </c>
      <c r="L6" s="26" t="s">
        <v>588</v>
      </c>
      <c r="M6" s="35" t="n">
        <v>672</v>
      </c>
      <c r="N6" s="35" t="n">
        <v>472</v>
      </c>
      <c r="O6" s="35" t="n">
        <v>417</v>
      </c>
      <c r="P6" s="35" t="n">
        <v>209</v>
      </c>
      <c r="Q6" s="36" t="n">
        <f aca="false">INDEX(M6:P6,MATCH(TipoSuelo,{"Roca","Grava","Suelo mixto","Arcilla"},0))</f>
        <v>417</v>
      </c>
      <c r="R6" s="36" t="n">
        <f aca="false">Q6*IF(AND(C6="BOMAG",L6="SÍ"),MultTecBOMAG,1)</f>
        <v>417</v>
      </c>
      <c r="S6" s="36" t="n">
        <f aca="false">R6*Eficiencia</f>
        <v>417</v>
      </c>
      <c r="T6" s="37" t="n">
        <f aca="false">IF(AND(S6&gt;0,VolumenCompactacion&gt;0),VolumenCompactacion/S6,0)</f>
        <v>0</v>
      </c>
      <c r="U6" s="38" t="n">
        <f aca="false">G6*PrecioDiesel+H6+I6</f>
        <v>17.16</v>
      </c>
      <c r="V6" s="39" t="n">
        <f aca="false">T6*U6</f>
        <v>0</v>
      </c>
      <c r="W6" s="39" t="n">
        <f aca="false">G6*HorasOperacion*PrecioDiesel</f>
        <v>42480</v>
      </c>
      <c r="X6" s="39" t="n">
        <f aca="false">HorasOperacion*(H6+I6)</f>
        <v>9000</v>
      </c>
      <c r="Y6" s="37" t="n">
        <f aca="false">IF(AND(B6="SDR",K6="NO"),HorasOperacion/JuntaIntervalo,0)</f>
        <v>0</v>
      </c>
      <c r="Z6" s="39" t="n">
        <f aca="false">Y6*JuntaHorasIntervencion*(JuntaTecnico+JuntaParada)+Y6*JuntaGrasa</f>
        <v>0</v>
      </c>
      <c r="AA6" s="40" t="n">
        <f aca="false">F6+W6+X6+Z6-J6</f>
        <v>110854</v>
      </c>
      <c r="AB6" s="38" t="n">
        <f aca="false">U6+IF(Y6&gt;0,(JuntaHorasIntervencion*(JuntaTecnico+JuntaParada)+JuntaGrasa)/JuntaIntervalo,0)</f>
        <v>17.16</v>
      </c>
      <c r="AC6" s="38" t="n">
        <f aca="false">IF(HorasOperacion&gt;0,AA6/HorasOperacion,0)</f>
        <v>36.9513333333333</v>
      </c>
      <c r="AD6" s="36" t="n">
        <f aca="false">AA6*TasaMoneda</f>
        <v>110854</v>
      </c>
      <c r="AE6" s="39" t="n">
        <f aca="false">IFERROR(AA6-INDEX($AA$5:$AA$64,MATCH(1,INDEX((B$5:B$64=B6)*(C$5:C$64="BOMAG"),0),0)),0)</f>
        <v>1781.22</v>
      </c>
    </row>
    <row r="7" customFormat="false" ht="15" hidden="false" customHeight="false" outlineLevel="0" collapsed="false">
      <c r="A7" s="12" t="str">
        <f aca="false">B7&amp;" | "&amp;C7&amp;" | "&amp;D7&amp;" (mat. 58400031)"</f>
        <v>SDR | BOMAG | BW211 D-5 SL (mat. 58400031)</v>
      </c>
      <c r="B7" s="26" t="s">
        <v>868</v>
      </c>
      <c r="C7" s="30" t="str">
        <f aca="false">'Datos SDR'!$B$4</f>
        <v>BOMAG</v>
      </c>
      <c r="D7" s="30" t="str">
        <f aca="false">'Datos SDR'!$C$4</f>
        <v>BW211 D-5 SL</v>
      </c>
      <c r="E7" s="31" t="n">
        <f aca="false">'Datos SDR'!$E$4</f>
        <v>10630</v>
      </c>
      <c r="F7" s="32" t="n">
        <f aca="false">'Datos SDR'!$Z$4</f>
        <v>63530.18</v>
      </c>
      <c r="G7" s="33" t="n">
        <f aca="false">'Datos SDR'!$Y$4</f>
        <v>12.4</v>
      </c>
      <c r="H7" s="34" t="n">
        <f aca="false">'Datos SDR'!$AA$4</f>
        <v>1</v>
      </c>
      <c r="I7" s="34" t="n">
        <f aca="false">'Datos SDR'!$AB$4</f>
        <v>2</v>
      </c>
      <c r="J7" s="28" t="n">
        <v>0</v>
      </c>
      <c r="K7" s="26" t="s">
        <v>570</v>
      </c>
      <c r="L7" s="26" t="s">
        <v>588</v>
      </c>
      <c r="M7" s="35" t="n">
        <v>672</v>
      </c>
      <c r="N7" s="35" t="n">
        <v>472</v>
      </c>
      <c r="O7" s="35" t="n">
        <v>417</v>
      </c>
      <c r="P7" s="35" t="n">
        <v>209</v>
      </c>
      <c r="Q7" s="36" t="n">
        <f aca="false">INDEX(M7:P7,MATCH(TipoSuelo,{"Roca","Grava","Suelo mixto","Arcilla"},0))</f>
        <v>417</v>
      </c>
      <c r="R7" s="36" t="n">
        <f aca="false">Q7*IF(AND(C7="BOMAG",L7="SÍ"),MultTecBOMAG,1)</f>
        <v>417</v>
      </c>
      <c r="S7" s="36" t="n">
        <f aca="false">R7*Eficiencia</f>
        <v>417</v>
      </c>
      <c r="T7" s="37" t="n">
        <f aca="false">IF(AND(S7&gt;0,VolumenCompactacion&gt;0),VolumenCompactacion/S7,0)</f>
        <v>0</v>
      </c>
      <c r="U7" s="38" t="n">
        <f aca="false">G7*PrecioDiesel+H7+I7</f>
        <v>17.88</v>
      </c>
      <c r="V7" s="39" t="n">
        <f aca="false">T7*U7</f>
        <v>0</v>
      </c>
      <c r="W7" s="39" t="n">
        <f aca="false">G7*HorasOperacion*PrecioDiesel</f>
        <v>44640</v>
      </c>
      <c r="X7" s="39" t="n">
        <f aca="false">HorasOperacion*(H7+I7)</f>
        <v>9000</v>
      </c>
      <c r="Y7" s="37" t="n">
        <f aca="false">IF(AND(B7="SDR",K7="NO"),HorasOperacion/JuntaIntervalo,0)</f>
        <v>0</v>
      </c>
      <c r="Z7" s="39" t="n">
        <f aca="false">Y7*JuntaHorasIntervencion*(JuntaTecnico+JuntaParada)+Y7*JuntaGrasa</f>
        <v>0</v>
      </c>
      <c r="AA7" s="40" t="n">
        <f aca="false">F7+W7+X7+Z7-J7</f>
        <v>117170.18</v>
      </c>
      <c r="AB7" s="38" t="n">
        <f aca="false">U7+IF(Y7&gt;0,(JuntaHorasIntervencion*(JuntaTecnico+JuntaParada)+JuntaGrasa)/JuntaIntervalo,0)</f>
        <v>17.88</v>
      </c>
      <c r="AC7" s="38" t="n">
        <f aca="false">IF(HorasOperacion&gt;0,AA7/HorasOperacion,0)</f>
        <v>39.0567266666667</v>
      </c>
      <c r="AD7" s="36" t="n">
        <f aca="false">AA7*TasaMoneda</f>
        <v>117170.18</v>
      </c>
      <c r="AE7" s="39" t="n">
        <f aca="false">IFERROR(AA7-INDEX($AA$5:$AA$64,MATCH(1,INDEX((B$5:B$64=B7)*(C$5:C$64="BOMAG"),0),0)),0)</f>
        <v>8097.39999999999</v>
      </c>
    </row>
    <row r="8" customFormat="false" ht="15" hidden="false" customHeight="false" outlineLevel="0" collapsed="false">
      <c r="A8" s="12" t="str">
        <f aca="false">B8&amp;" | "&amp;C8&amp;" | "&amp;D8&amp;" (mat. 58400033)"</f>
        <v>SDR | BOMAG | BW211 D-5 SL (mat. 58400033)</v>
      </c>
      <c r="B8" s="26" t="s">
        <v>868</v>
      </c>
      <c r="C8" s="30" t="str">
        <f aca="false">'Datos SDR'!$B$5</f>
        <v>BOMAG</v>
      </c>
      <c r="D8" s="30" t="str">
        <f aca="false">'Datos SDR'!$C$5</f>
        <v>BW211 D-5 SL</v>
      </c>
      <c r="E8" s="31" t="n">
        <f aca="false">'Datos SDR'!$E$5</f>
        <v>10630</v>
      </c>
      <c r="F8" s="32" t="n">
        <f aca="false">'Datos SDR'!$Z$5</f>
        <v>66500</v>
      </c>
      <c r="G8" s="33" t="n">
        <f aca="false">'Datos SDR'!$Y$5</f>
        <v>12.4</v>
      </c>
      <c r="H8" s="34" t="n">
        <f aca="false">'Datos SDR'!$AA$5</f>
        <v>1</v>
      </c>
      <c r="I8" s="34" t="n">
        <f aca="false">'Datos SDR'!$AB$5</f>
        <v>2</v>
      </c>
      <c r="J8" s="28" t="n">
        <v>0</v>
      </c>
      <c r="K8" s="26" t="s">
        <v>570</v>
      </c>
      <c r="L8" s="26" t="s">
        <v>588</v>
      </c>
      <c r="M8" s="35" t="n">
        <v>672</v>
      </c>
      <c r="N8" s="35" t="n">
        <v>472</v>
      </c>
      <c r="O8" s="35" t="n">
        <v>417</v>
      </c>
      <c r="P8" s="35" t="n">
        <v>209</v>
      </c>
      <c r="Q8" s="36" t="n">
        <f aca="false">INDEX(M8:P8,MATCH(TipoSuelo,{"Roca","Grava","Suelo mixto","Arcilla"},0))</f>
        <v>417</v>
      </c>
      <c r="R8" s="36" t="n">
        <f aca="false">Q8*IF(AND(C8="BOMAG",L8="SÍ"),MultTecBOMAG,1)</f>
        <v>417</v>
      </c>
      <c r="S8" s="36" t="n">
        <f aca="false">R8*Eficiencia</f>
        <v>417</v>
      </c>
      <c r="T8" s="37" t="n">
        <f aca="false">IF(AND(S8&gt;0,VolumenCompactacion&gt;0),VolumenCompactacion/S8,0)</f>
        <v>0</v>
      </c>
      <c r="U8" s="38" t="n">
        <f aca="false">G8*PrecioDiesel+H8+I8</f>
        <v>17.88</v>
      </c>
      <c r="V8" s="39" t="n">
        <f aca="false">T8*U8</f>
        <v>0</v>
      </c>
      <c r="W8" s="39" t="n">
        <f aca="false">G8*HorasOperacion*PrecioDiesel</f>
        <v>44640</v>
      </c>
      <c r="X8" s="39" t="n">
        <f aca="false">HorasOperacion*(H8+I8)</f>
        <v>9000</v>
      </c>
      <c r="Y8" s="37" t="n">
        <f aca="false">IF(AND(B8="SDR",K8="NO"),HorasOperacion/JuntaIntervalo,0)</f>
        <v>0</v>
      </c>
      <c r="Z8" s="39" t="n">
        <f aca="false">Y8*JuntaHorasIntervencion*(JuntaTecnico+JuntaParada)+Y8*JuntaGrasa</f>
        <v>0</v>
      </c>
      <c r="AA8" s="40" t="n">
        <f aca="false">F8+W8+X8+Z8-J8</f>
        <v>120140</v>
      </c>
      <c r="AB8" s="38" t="n">
        <f aca="false">U8+IF(Y8&gt;0,(JuntaHorasIntervencion*(JuntaTecnico+JuntaParada)+JuntaGrasa)/JuntaIntervalo,0)</f>
        <v>17.88</v>
      </c>
      <c r="AC8" s="38" t="n">
        <f aca="false">IF(HorasOperacion&gt;0,AA8/HorasOperacion,0)</f>
        <v>40.0466666666667</v>
      </c>
      <c r="AD8" s="36" t="n">
        <f aca="false">AA8*TasaMoneda</f>
        <v>120140</v>
      </c>
      <c r="AE8" s="39" t="n">
        <f aca="false">IFERROR(AA8-INDEX($AA$5:$AA$64,MATCH(1,INDEX((B$5:B$64=B8)*(C$5:C$64="BOMAG"),0),0)),0)</f>
        <v>11067.22</v>
      </c>
    </row>
    <row r="9" customFormat="false" ht="15" hidden="false" customHeight="false" outlineLevel="0" collapsed="false">
      <c r="A9" s="12" t="str">
        <f aca="false">B9&amp;" | "&amp;C9&amp;" | "&amp;D9</f>
        <v>SDR | BOMAG | BW212 D-5 SL</v>
      </c>
      <c r="B9" s="26" t="s">
        <v>868</v>
      </c>
      <c r="C9" s="30" t="str">
        <f aca="false">'Datos SDR'!$B$6</f>
        <v>BOMAG</v>
      </c>
      <c r="D9" s="30" t="str">
        <f aca="false">'Datos SDR'!$C$6</f>
        <v>BW212 D-5 SL</v>
      </c>
      <c r="E9" s="31" t="n">
        <f aca="false">'Datos SDR'!$E$6</f>
        <v>11490</v>
      </c>
      <c r="F9" s="32" t="n">
        <f aca="false">'Datos SDR'!$Z$6</f>
        <v>68684</v>
      </c>
      <c r="G9" s="33" t="n">
        <f aca="false">'Datos SDR'!$Y$6</f>
        <v>12.4</v>
      </c>
      <c r="H9" s="34" t="n">
        <f aca="false">'Datos SDR'!$AA$6</f>
        <v>1</v>
      </c>
      <c r="I9" s="34" t="n">
        <f aca="false">'Datos SDR'!$AB$6</f>
        <v>2</v>
      </c>
      <c r="J9" s="28" t="n">
        <v>0</v>
      </c>
      <c r="K9" s="26" t="s">
        <v>570</v>
      </c>
      <c r="L9" s="26" t="s">
        <v>588</v>
      </c>
      <c r="M9" s="35" t="n">
        <v>815</v>
      </c>
      <c r="N9" s="35" t="n">
        <v>615</v>
      </c>
      <c r="O9" s="35" t="n">
        <v>532</v>
      </c>
      <c r="P9" s="35" t="n">
        <v>266</v>
      </c>
      <c r="Q9" s="36" t="n">
        <f aca="false">INDEX(M9:P9,MATCH(TipoSuelo,{"Roca","Grava","Suelo mixto","Arcilla"},0))</f>
        <v>532</v>
      </c>
      <c r="R9" s="36" t="n">
        <f aca="false">Q9*IF(AND(C9="BOMAG",L9="SÍ"),MultTecBOMAG,1)</f>
        <v>532</v>
      </c>
      <c r="S9" s="36" t="n">
        <f aca="false">R9*Eficiencia</f>
        <v>532</v>
      </c>
      <c r="T9" s="37" t="n">
        <f aca="false">IF(AND(S9&gt;0,VolumenCompactacion&gt;0),VolumenCompactacion/S9,0)</f>
        <v>0</v>
      </c>
      <c r="U9" s="38" t="n">
        <f aca="false">G9*PrecioDiesel+H9+I9</f>
        <v>17.88</v>
      </c>
      <c r="V9" s="39" t="n">
        <f aca="false">T9*U9</f>
        <v>0</v>
      </c>
      <c r="W9" s="39" t="n">
        <f aca="false">G9*HorasOperacion*PrecioDiesel</f>
        <v>44640</v>
      </c>
      <c r="X9" s="39" t="n">
        <f aca="false">HorasOperacion*(H9+I9)</f>
        <v>9000</v>
      </c>
      <c r="Y9" s="37" t="n">
        <f aca="false">IF(AND(B9="SDR",K9="NO"),HorasOperacion/JuntaIntervalo,0)</f>
        <v>0</v>
      </c>
      <c r="Z9" s="39" t="n">
        <f aca="false">Y9*JuntaHorasIntervencion*(JuntaTecnico+JuntaParada)+Y9*JuntaGrasa</f>
        <v>0</v>
      </c>
      <c r="AA9" s="40" t="n">
        <f aca="false">F9+W9+X9+Z9-J9</f>
        <v>122324</v>
      </c>
      <c r="AB9" s="38" t="n">
        <f aca="false">U9+IF(Y9&gt;0,(JuntaHorasIntervencion*(JuntaTecnico+JuntaParada)+JuntaGrasa)/JuntaIntervalo,0)</f>
        <v>17.88</v>
      </c>
      <c r="AC9" s="38" t="n">
        <f aca="false">IF(HorasOperacion&gt;0,AA9/HorasOperacion,0)</f>
        <v>40.7746666666667</v>
      </c>
      <c r="AD9" s="36" t="n">
        <f aca="false">AA9*TasaMoneda</f>
        <v>122324</v>
      </c>
      <c r="AE9" s="39" t="n">
        <f aca="false">IFERROR(AA9-INDEX($AA$5:$AA$64,MATCH(1,INDEX((B$5:B$64=B9)*(C$5:C$64="BOMAG"),0),0)),0)</f>
        <v>13251.22</v>
      </c>
    </row>
    <row r="10" customFormat="false" ht="15" hidden="false" customHeight="false" outlineLevel="0" collapsed="false">
      <c r="A10" s="12" t="str">
        <f aca="false">B10&amp;" | "&amp;C10&amp;" | "&amp;D10</f>
        <v>SDR | BOMAG | BW213 D-5 SL</v>
      </c>
      <c r="B10" s="26" t="s">
        <v>868</v>
      </c>
      <c r="C10" s="30" t="str">
        <f aca="false">'Datos SDR'!$B$7</f>
        <v>BOMAG</v>
      </c>
      <c r="D10" s="30" t="str">
        <f aca="false">'Datos SDR'!$C$7</f>
        <v>BW213 D-5 SL</v>
      </c>
      <c r="E10" s="31" t="n">
        <f aca="false">'Datos SDR'!$E$7</f>
        <v>12320</v>
      </c>
      <c r="F10" s="32" t="n">
        <f aca="false">'Datos SDR'!$Z$7</f>
        <v>72948</v>
      </c>
      <c r="G10" s="33" t="n">
        <f aca="false">'Datos SDR'!$Y$7</f>
        <v>12.4</v>
      </c>
      <c r="H10" s="34" t="n">
        <f aca="false">'Datos SDR'!$AA$7</f>
        <v>1</v>
      </c>
      <c r="I10" s="34" t="n">
        <f aca="false">'Datos SDR'!$AB$7</f>
        <v>2</v>
      </c>
      <c r="J10" s="28" t="n">
        <v>0</v>
      </c>
      <c r="K10" s="26" t="s">
        <v>570</v>
      </c>
      <c r="L10" s="26" t="s">
        <v>588</v>
      </c>
      <c r="M10" s="35" t="n">
        <v>772</v>
      </c>
      <c r="N10" s="35" t="n">
        <v>588</v>
      </c>
      <c r="O10" s="35" t="n">
        <v>504</v>
      </c>
      <c r="P10" s="35" t="n">
        <v>252</v>
      </c>
      <c r="Q10" s="36" t="n">
        <f aca="false">INDEX(M10:P10,MATCH(TipoSuelo,{"Roca","Grava","Suelo mixto","Arcilla"},0))</f>
        <v>504</v>
      </c>
      <c r="R10" s="36" t="n">
        <f aca="false">Q10*IF(AND(C10="BOMAG",L10="SÍ"),MultTecBOMAG,1)</f>
        <v>504</v>
      </c>
      <c r="S10" s="36" t="n">
        <f aca="false">R10*Eficiencia</f>
        <v>504</v>
      </c>
      <c r="T10" s="37" t="n">
        <f aca="false">IF(AND(S10&gt;0,VolumenCompactacion&gt;0),VolumenCompactacion/S10,0)</f>
        <v>0</v>
      </c>
      <c r="U10" s="38" t="n">
        <f aca="false">G10*PrecioDiesel+H10+I10</f>
        <v>17.88</v>
      </c>
      <c r="V10" s="39" t="n">
        <f aca="false">T10*U10</f>
        <v>0</v>
      </c>
      <c r="W10" s="39" t="n">
        <f aca="false">G10*HorasOperacion*PrecioDiesel</f>
        <v>44640</v>
      </c>
      <c r="X10" s="39" t="n">
        <f aca="false">HorasOperacion*(H10+I10)</f>
        <v>9000</v>
      </c>
      <c r="Y10" s="37" t="n">
        <f aca="false">IF(AND(B10="SDR",K10="NO"),HorasOperacion/JuntaIntervalo,0)</f>
        <v>0</v>
      </c>
      <c r="Z10" s="39" t="n">
        <f aca="false">Y10*JuntaHorasIntervencion*(JuntaTecnico+JuntaParada)+Y10*JuntaGrasa</f>
        <v>0</v>
      </c>
      <c r="AA10" s="40" t="n">
        <f aca="false">F10+W10+X10+Z10-J10</f>
        <v>126588</v>
      </c>
      <c r="AB10" s="38" t="n">
        <f aca="false">U10+IF(Y10&gt;0,(JuntaHorasIntervencion*(JuntaTecnico+JuntaParada)+JuntaGrasa)/JuntaIntervalo,0)</f>
        <v>17.88</v>
      </c>
      <c r="AC10" s="38" t="n">
        <f aca="false">IF(HorasOperacion&gt;0,AA10/HorasOperacion,0)</f>
        <v>42.196</v>
      </c>
      <c r="AD10" s="36" t="n">
        <f aca="false">AA10*TasaMoneda</f>
        <v>126588</v>
      </c>
      <c r="AE10" s="39" t="n">
        <f aca="false">IFERROR(AA10-INDEX($AA$5:$AA$64,MATCH(1,INDEX((B$5:B$64=B10)*(C$5:C$64="BOMAG"),0),0)),0)</f>
        <v>17515.22</v>
      </c>
    </row>
    <row r="11" customFormat="false" ht="15" hidden="false" customHeight="false" outlineLevel="0" collapsed="false">
      <c r="A11" s="12" t="str">
        <f aca="false">B11&amp;" | "&amp;C11&amp;" | "&amp;D11</f>
        <v>SDR | BOMAG | BW213 D-5 SL TCD</v>
      </c>
      <c r="B11" s="26" t="s">
        <v>868</v>
      </c>
      <c r="C11" s="30" t="str">
        <f aca="false">'Datos SDR'!$B$8</f>
        <v>BOMAG</v>
      </c>
      <c r="D11" s="30" t="str">
        <f aca="false">'Datos SDR'!$C$8</f>
        <v>BW213 D-5 SL TCD</v>
      </c>
      <c r="E11" s="31" t="n">
        <f aca="false">'Datos SDR'!$E$8</f>
        <v>11960</v>
      </c>
      <c r="F11" s="32" t="n">
        <f aca="false">'Datos SDR'!$Z$8</f>
        <v>72948</v>
      </c>
      <c r="G11" s="33" t="n">
        <f aca="false">'Datos SDR'!$Y$8</f>
        <v>12.4</v>
      </c>
      <c r="H11" s="34" t="n">
        <f aca="false">'Datos SDR'!$AA$8</f>
        <v>1</v>
      </c>
      <c r="I11" s="34" t="n">
        <f aca="false">'Datos SDR'!$AB$8</f>
        <v>2</v>
      </c>
      <c r="J11" s="28" t="n">
        <v>0</v>
      </c>
      <c r="K11" s="26" t="s">
        <v>570</v>
      </c>
      <c r="L11" s="26" t="s">
        <v>588</v>
      </c>
      <c r="M11" s="35" t="n">
        <v>893</v>
      </c>
      <c r="N11" s="35" t="n">
        <v>693</v>
      </c>
      <c r="O11" s="35" t="n">
        <v>595</v>
      </c>
      <c r="P11" s="35" t="n">
        <v>297</v>
      </c>
      <c r="Q11" s="36" t="n">
        <f aca="false">INDEX(M11:P11,MATCH(TipoSuelo,{"Roca","Grava","Suelo mixto","Arcilla"},0))</f>
        <v>595</v>
      </c>
      <c r="R11" s="36" t="n">
        <f aca="false">Q11*IF(AND(C11="BOMAG",L11="SÍ"),MultTecBOMAG,1)</f>
        <v>595</v>
      </c>
      <c r="S11" s="36" t="n">
        <f aca="false">R11*Eficiencia</f>
        <v>595</v>
      </c>
      <c r="T11" s="37" t="n">
        <f aca="false">IF(AND(S11&gt;0,VolumenCompactacion&gt;0),VolumenCompactacion/S11,0)</f>
        <v>0</v>
      </c>
      <c r="U11" s="38" t="n">
        <f aca="false">G11*PrecioDiesel+H11+I11</f>
        <v>17.88</v>
      </c>
      <c r="V11" s="39" t="n">
        <f aca="false">T11*U11</f>
        <v>0</v>
      </c>
      <c r="W11" s="39" t="n">
        <f aca="false">G11*HorasOperacion*PrecioDiesel</f>
        <v>44640</v>
      </c>
      <c r="X11" s="39" t="n">
        <f aca="false">HorasOperacion*(H11+I11)</f>
        <v>9000</v>
      </c>
      <c r="Y11" s="37" t="n">
        <f aca="false">IF(AND(B11="SDR",K11="NO"),HorasOperacion/JuntaIntervalo,0)</f>
        <v>0</v>
      </c>
      <c r="Z11" s="39" t="n">
        <f aca="false">Y11*JuntaHorasIntervencion*(JuntaTecnico+JuntaParada)+Y11*JuntaGrasa</f>
        <v>0</v>
      </c>
      <c r="AA11" s="40" t="n">
        <f aca="false">F11+W11+X11+Z11-J11</f>
        <v>126588</v>
      </c>
      <c r="AB11" s="38" t="n">
        <f aca="false">U11+IF(Y11&gt;0,(JuntaHorasIntervencion*(JuntaTecnico+JuntaParada)+JuntaGrasa)/JuntaIntervalo,0)</f>
        <v>17.88</v>
      </c>
      <c r="AC11" s="38" t="n">
        <f aca="false">IF(HorasOperacion&gt;0,AA11/HorasOperacion,0)</f>
        <v>42.196</v>
      </c>
      <c r="AD11" s="36" t="n">
        <f aca="false">AA11*TasaMoneda</f>
        <v>126588</v>
      </c>
      <c r="AE11" s="39" t="n">
        <f aca="false">IFERROR(AA11-INDEX($AA$5:$AA$64,MATCH(1,INDEX((B$5:B$64=B11)*(C$5:C$64="BOMAG"),0),0)),0)</f>
        <v>17515.22</v>
      </c>
    </row>
    <row r="12" customFormat="false" ht="15" hidden="false" customHeight="false" outlineLevel="0" collapsed="false">
      <c r="A12" s="12" t="str">
        <f aca="false">B12&amp;" | "&amp;C12&amp;" | "&amp;D12</f>
        <v>SDR | BOMAG | BW216 D-5 SL</v>
      </c>
      <c r="B12" s="26" t="s">
        <v>868</v>
      </c>
      <c r="C12" s="30" t="str">
        <f aca="false">'Datos SDR'!$B$9</f>
        <v>BOMAG</v>
      </c>
      <c r="D12" s="30" t="str">
        <f aca="false">'Datos SDR'!$C$9</f>
        <v>BW216 D-5 SL</v>
      </c>
      <c r="E12" s="31" t="n">
        <f aca="false">'Datos SDR'!$E$9</f>
        <v>14850</v>
      </c>
      <c r="F12" s="32" t="n">
        <f aca="false">'Datos SDR'!$Z$9</f>
        <v>0</v>
      </c>
      <c r="G12" s="33" t="n">
        <f aca="false">'Datos SDR'!$Y$9</f>
        <v>0</v>
      </c>
      <c r="H12" s="34" t="n">
        <f aca="false">'Datos SDR'!$AA$9</f>
        <v>1</v>
      </c>
      <c r="I12" s="34" t="n">
        <f aca="false">'Datos SDR'!$AB$9</f>
        <v>2</v>
      </c>
      <c r="J12" s="28" t="n">
        <v>0</v>
      </c>
      <c r="K12" s="26" t="s">
        <v>570</v>
      </c>
      <c r="L12" s="26" t="s">
        <v>588</v>
      </c>
      <c r="M12" s="35" t="n">
        <v>1055</v>
      </c>
      <c r="N12" s="35" t="n">
        <v>751</v>
      </c>
      <c r="O12" s="35" t="n">
        <v>608</v>
      </c>
      <c r="P12" s="35" t="n">
        <v>304</v>
      </c>
      <c r="Q12" s="36" t="n">
        <f aca="false">INDEX(M12:P12,MATCH(TipoSuelo,{"Roca","Grava","Suelo mixto","Arcilla"},0))</f>
        <v>608</v>
      </c>
      <c r="R12" s="36" t="n">
        <f aca="false">Q12*IF(AND(C12="BOMAG",L12="SÍ"),MultTecBOMAG,1)</f>
        <v>608</v>
      </c>
      <c r="S12" s="36" t="n">
        <f aca="false">R12*Eficiencia</f>
        <v>608</v>
      </c>
      <c r="T12" s="37" t="n">
        <f aca="false">IF(AND(S12&gt;0,VolumenCompactacion&gt;0),VolumenCompactacion/S12,0)</f>
        <v>0</v>
      </c>
      <c r="U12" s="38" t="n">
        <f aca="false">G12*PrecioDiesel+H12+I12</f>
        <v>3</v>
      </c>
      <c r="V12" s="39" t="n">
        <f aca="false">T12*U12</f>
        <v>0</v>
      </c>
      <c r="W12" s="39" t="n">
        <f aca="false">G12*HorasOperacion*PrecioDiesel</f>
        <v>0</v>
      </c>
      <c r="X12" s="39" t="n">
        <f aca="false">HorasOperacion*(H12+I12)</f>
        <v>9000</v>
      </c>
      <c r="Y12" s="37" t="n">
        <f aca="false">IF(AND(B12="SDR",K12="NO"),HorasOperacion/JuntaIntervalo,0)</f>
        <v>0</v>
      </c>
      <c r="Z12" s="39" t="n">
        <f aca="false">Y12*JuntaHorasIntervencion*(JuntaTecnico+JuntaParada)+Y12*JuntaGrasa</f>
        <v>0</v>
      </c>
      <c r="AA12" s="40" t="n">
        <f aca="false">F12+W12+X12+Z12-J12</f>
        <v>9000</v>
      </c>
      <c r="AB12" s="38" t="n">
        <f aca="false">U12+IF(Y12&gt;0,(JuntaHorasIntervencion*(JuntaTecnico+JuntaParada)+JuntaGrasa)/JuntaIntervalo,0)</f>
        <v>3</v>
      </c>
      <c r="AC12" s="38" t="n">
        <f aca="false">IF(HorasOperacion&gt;0,AA12/HorasOperacion,0)</f>
        <v>3</v>
      </c>
      <c r="AD12" s="36" t="n">
        <f aca="false">AA12*TasaMoneda</f>
        <v>9000</v>
      </c>
      <c r="AE12" s="39" t="n">
        <f aca="false">IFERROR(AA12-INDEX($AA$5:$AA$64,MATCH(1,INDEX((B$5:B$64=B12)*(C$5:C$64="BOMAG"),0),0)),0)</f>
        <v>-100072.78</v>
      </c>
    </row>
    <row r="13" customFormat="false" ht="15" hidden="false" customHeight="false" outlineLevel="0" collapsed="false">
      <c r="A13" s="12" t="str">
        <f aca="false">B13&amp;" | "&amp;C13&amp;" | "&amp;D13</f>
        <v>SDR | BOMAG | BW219 D-5 PL</v>
      </c>
      <c r="B13" s="26" t="s">
        <v>868</v>
      </c>
      <c r="C13" s="30" t="str">
        <f aca="false">'Datos SDR'!$B$10</f>
        <v>BOMAG</v>
      </c>
      <c r="D13" s="30" t="str">
        <f aca="false">'Datos SDR'!$C$10</f>
        <v>BW219 D-5 PL</v>
      </c>
      <c r="E13" s="31" t="n">
        <f aca="false">'Datos SDR'!$E$10</f>
        <v>19400</v>
      </c>
      <c r="F13" s="32" t="n">
        <f aca="false">'Datos SDR'!$Z$10</f>
        <v>0</v>
      </c>
      <c r="G13" s="33" t="n">
        <f aca="false">'Datos SDR'!$Y$10</f>
        <v>0</v>
      </c>
      <c r="H13" s="34" t="n">
        <f aca="false">'Datos SDR'!$AA$10</f>
        <v>1</v>
      </c>
      <c r="I13" s="34" t="n">
        <f aca="false">'Datos SDR'!$AB$10</f>
        <v>2</v>
      </c>
      <c r="J13" s="28" t="n">
        <v>0</v>
      </c>
      <c r="K13" s="26" t="s">
        <v>570</v>
      </c>
      <c r="L13" s="26" t="s">
        <v>588</v>
      </c>
      <c r="M13" s="35" t="n">
        <v>987</v>
      </c>
      <c r="N13" s="35" t="n">
        <v>573</v>
      </c>
      <c r="O13" s="35" t="n">
        <v>547</v>
      </c>
      <c r="P13" s="35" t="n">
        <v>313</v>
      </c>
      <c r="Q13" s="36" t="n">
        <f aca="false">INDEX(M13:P13,MATCH(TipoSuelo,{"Roca","Grava","Suelo mixto","Arcilla"},0))</f>
        <v>547</v>
      </c>
      <c r="R13" s="36" t="n">
        <f aca="false">Q13*IF(AND(C13="BOMAG",L13="SÍ"),MultTecBOMAG,1)</f>
        <v>547</v>
      </c>
      <c r="S13" s="36" t="n">
        <f aca="false">R13*Eficiencia</f>
        <v>547</v>
      </c>
      <c r="T13" s="37" t="n">
        <f aca="false">IF(AND(S13&gt;0,VolumenCompactacion&gt;0),VolumenCompactacion/S13,0)</f>
        <v>0</v>
      </c>
      <c r="U13" s="38" t="n">
        <f aca="false">G13*PrecioDiesel+H13+I13</f>
        <v>3</v>
      </c>
      <c r="V13" s="39" t="n">
        <f aca="false">T13*U13</f>
        <v>0</v>
      </c>
      <c r="W13" s="39" t="n">
        <f aca="false">G13*HorasOperacion*PrecioDiesel</f>
        <v>0</v>
      </c>
      <c r="X13" s="39" t="n">
        <f aca="false">HorasOperacion*(H13+I13)</f>
        <v>9000</v>
      </c>
      <c r="Y13" s="37" t="n">
        <f aca="false">IF(AND(B13="SDR",K13="NO"),HorasOperacion/JuntaIntervalo,0)</f>
        <v>0</v>
      </c>
      <c r="Z13" s="39" t="n">
        <f aca="false">Y13*JuntaHorasIntervencion*(JuntaTecnico+JuntaParada)+Y13*JuntaGrasa</f>
        <v>0</v>
      </c>
      <c r="AA13" s="40" t="n">
        <f aca="false">F13+W13+X13+Z13-J13</f>
        <v>9000</v>
      </c>
      <c r="AB13" s="38" t="n">
        <f aca="false">U13+IF(Y13&gt;0,(JuntaHorasIntervencion*(JuntaTecnico+JuntaParada)+JuntaGrasa)/JuntaIntervalo,0)</f>
        <v>3</v>
      </c>
      <c r="AC13" s="38" t="n">
        <f aca="false">IF(HorasOperacion&gt;0,AA13/HorasOperacion,0)</f>
        <v>3</v>
      </c>
      <c r="AD13" s="36" t="n">
        <f aca="false">AA13*TasaMoneda</f>
        <v>9000</v>
      </c>
      <c r="AE13" s="39" t="n">
        <f aca="false">IFERROR(AA13-INDEX($AA$5:$AA$64,MATCH(1,INDEX((B$5:B$64=B13)*(C$5:C$64="BOMAG"),0),0)),0)</f>
        <v>-100072.78</v>
      </c>
    </row>
    <row r="14" customFormat="false" ht="15" hidden="false" customHeight="false" outlineLevel="0" collapsed="false">
      <c r="A14" s="12" t="str">
        <f aca="false">B14&amp;" | "&amp;C14&amp;" | "&amp;D14</f>
        <v>SDR | BOMAG | BW220 D-5 PL</v>
      </c>
      <c r="B14" s="26" t="s">
        <v>868</v>
      </c>
      <c r="C14" s="30" t="str">
        <f aca="false">'Datos SDR'!$B$11</f>
        <v>BOMAG</v>
      </c>
      <c r="D14" s="30" t="str">
        <f aca="false">'Datos SDR'!$C$11</f>
        <v>BW220 D-5 PL</v>
      </c>
      <c r="E14" s="31" t="n">
        <f aca="false">'Datos SDR'!$E$11</f>
        <v>20100</v>
      </c>
      <c r="F14" s="32" t="n">
        <f aca="false">'Datos SDR'!$Z$11</f>
        <v>0</v>
      </c>
      <c r="G14" s="33" t="n">
        <f aca="false">'Datos SDR'!$Y$11</f>
        <v>0</v>
      </c>
      <c r="H14" s="34" t="n">
        <f aca="false">'Datos SDR'!$AA$11</f>
        <v>1</v>
      </c>
      <c r="I14" s="34" t="n">
        <f aca="false">'Datos SDR'!$AB$11</f>
        <v>2</v>
      </c>
      <c r="J14" s="28" t="n">
        <v>0</v>
      </c>
      <c r="K14" s="26" t="s">
        <v>570</v>
      </c>
      <c r="L14" s="26" t="s">
        <v>588</v>
      </c>
      <c r="M14" s="35" t="n">
        <v>1138</v>
      </c>
      <c r="N14" s="35" t="n">
        <v>702</v>
      </c>
      <c r="O14" s="35" t="n">
        <v>628</v>
      </c>
      <c r="P14" s="35" t="n">
        <v>337</v>
      </c>
      <c r="Q14" s="36" t="n">
        <f aca="false">INDEX(M14:P14,MATCH(TipoSuelo,{"Roca","Grava","Suelo mixto","Arcilla"},0))</f>
        <v>628</v>
      </c>
      <c r="R14" s="36" t="n">
        <f aca="false">Q14*IF(AND(C14="BOMAG",L14="SÍ"),MultTecBOMAG,1)</f>
        <v>628</v>
      </c>
      <c r="S14" s="36" t="n">
        <f aca="false">R14*Eficiencia</f>
        <v>628</v>
      </c>
      <c r="T14" s="37" t="n">
        <f aca="false">IF(AND(S14&gt;0,VolumenCompactacion&gt;0),VolumenCompactacion/S14,0)</f>
        <v>0</v>
      </c>
      <c r="U14" s="38" t="n">
        <f aca="false">G14*PrecioDiesel+H14+I14</f>
        <v>3</v>
      </c>
      <c r="V14" s="39" t="n">
        <f aca="false">T14*U14</f>
        <v>0</v>
      </c>
      <c r="W14" s="39" t="n">
        <f aca="false">G14*HorasOperacion*PrecioDiesel</f>
        <v>0</v>
      </c>
      <c r="X14" s="39" t="n">
        <f aca="false">HorasOperacion*(H14+I14)</f>
        <v>9000</v>
      </c>
      <c r="Y14" s="37" t="n">
        <f aca="false">IF(AND(B14="SDR",K14="NO"),HorasOperacion/JuntaIntervalo,0)</f>
        <v>0</v>
      </c>
      <c r="Z14" s="39" t="n">
        <f aca="false">Y14*JuntaHorasIntervencion*(JuntaTecnico+JuntaParada)+Y14*JuntaGrasa</f>
        <v>0</v>
      </c>
      <c r="AA14" s="40" t="n">
        <f aca="false">F14+W14+X14+Z14-J14</f>
        <v>9000</v>
      </c>
      <c r="AB14" s="38" t="n">
        <f aca="false">U14+IF(Y14&gt;0,(JuntaHorasIntervencion*(JuntaTecnico+JuntaParada)+JuntaGrasa)/JuntaIntervalo,0)</f>
        <v>3</v>
      </c>
      <c r="AC14" s="38" t="n">
        <f aca="false">IF(HorasOperacion&gt;0,AA14/HorasOperacion,0)</f>
        <v>3</v>
      </c>
      <c r="AD14" s="36" t="n">
        <f aca="false">AA14*TasaMoneda</f>
        <v>9000</v>
      </c>
      <c r="AE14" s="39" t="n">
        <f aca="false">IFERROR(AA14-INDEX($AA$5:$AA$64,MATCH(1,INDEX((B$5:B$64=B14)*(C$5:C$64="BOMAG"),0),0)),0)</f>
        <v>-100072.78</v>
      </c>
    </row>
    <row r="15" customFormat="false" ht="15" hidden="false" customHeight="false" outlineLevel="0" collapsed="false">
      <c r="A15" s="12" t="str">
        <f aca="false">B15&amp;" | "&amp;C15&amp;" | "&amp;D15</f>
        <v>SDR | SAKAI | SV521D</v>
      </c>
      <c r="B15" s="26" t="s">
        <v>868</v>
      </c>
      <c r="C15" s="30" t="str">
        <f aca="false">'Datos SDR'!$B$12</f>
        <v>SAKAI</v>
      </c>
      <c r="D15" s="30" t="str">
        <f aca="false">'Datos SDR'!$C$12</f>
        <v>SV521D</v>
      </c>
      <c r="E15" s="31" t="n">
        <f aca="false">'Datos SDR'!$E$12</f>
        <v>10720</v>
      </c>
      <c r="F15" s="32" t="n">
        <f aca="false">'Datos SDR'!$Z$12</f>
        <v>0</v>
      </c>
      <c r="G15" s="33" t="n">
        <f aca="false">'Datos SDR'!$Y$12</f>
        <v>0</v>
      </c>
      <c r="H15" s="34" t="n">
        <f aca="false">'Datos SDR'!$AA$12</f>
        <v>1</v>
      </c>
      <c r="I15" s="34" t="n">
        <f aca="false">'Datos SDR'!$AB$12</f>
        <v>2</v>
      </c>
      <c r="J15" s="28" t="n">
        <v>0</v>
      </c>
      <c r="K15" s="26" t="s">
        <v>588</v>
      </c>
      <c r="L15" s="26" t="s">
        <v>869</v>
      </c>
      <c r="M15" s="35" t="n">
        <v>687</v>
      </c>
      <c r="N15" s="35" t="n">
        <v>487</v>
      </c>
      <c r="O15" s="35" t="n">
        <v>429</v>
      </c>
      <c r="P15" s="35" t="n">
        <v>215</v>
      </c>
      <c r="Q15" s="36" t="n">
        <f aca="false">INDEX(M15:P15,MATCH(TipoSuelo,{"Roca","Grava","Suelo mixto","Arcilla"},0))</f>
        <v>429</v>
      </c>
      <c r="R15" s="36" t="n">
        <f aca="false">Q15*IF(AND(C15="BOMAG",L15="SÍ"),MultTecBOMAG,1)</f>
        <v>429</v>
      </c>
      <c r="S15" s="36" t="n">
        <f aca="false">R15*Eficiencia</f>
        <v>429</v>
      </c>
      <c r="T15" s="37" t="n">
        <f aca="false">IF(AND(S15&gt;0,VolumenCompactacion&gt;0),VolumenCompactacion/S15,0)</f>
        <v>0</v>
      </c>
      <c r="U15" s="38" t="n">
        <f aca="false">G15*PrecioDiesel+H15+I15</f>
        <v>3</v>
      </c>
      <c r="V15" s="39" t="n">
        <f aca="false">T15*U15</f>
        <v>0</v>
      </c>
      <c r="W15" s="39" t="n">
        <f aca="false">G15*HorasOperacion*PrecioDiesel</f>
        <v>0</v>
      </c>
      <c r="X15" s="39" t="n">
        <f aca="false">HorasOperacion*(H15+I15)</f>
        <v>9000</v>
      </c>
      <c r="Y15" s="37" t="n">
        <f aca="false">IF(AND(B15="SDR",K15="NO"),HorasOperacion/JuntaIntervalo,0)</f>
        <v>60</v>
      </c>
      <c r="Z15" s="39" t="n">
        <f aca="false">Y15*JuntaHorasIntervencion*(JuntaTecnico+JuntaParada)+Y15*JuntaGrasa</f>
        <v>5550</v>
      </c>
      <c r="AA15" s="40" t="n">
        <f aca="false">F15+W15+X15+Z15-J15</f>
        <v>14550</v>
      </c>
      <c r="AB15" s="38" t="n">
        <f aca="false">U15+IF(Y15&gt;0,(JuntaHorasIntervencion*(JuntaTecnico+JuntaParada)+JuntaGrasa)/JuntaIntervalo,0)</f>
        <v>4.85</v>
      </c>
      <c r="AC15" s="38" t="n">
        <f aca="false">IF(HorasOperacion&gt;0,AA15/HorasOperacion,0)</f>
        <v>4.85</v>
      </c>
      <c r="AD15" s="36" t="n">
        <f aca="false">AA15*TasaMoneda</f>
        <v>14550</v>
      </c>
      <c r="AE15" s="39" t="n">
        <f aca="false">IFERROR(AA15-INDEX($AA$5:$AA$64,MATCH(1,INDEX((B$5:B$64=B15)*(C$5:C$64="BOMAG"),0),0)),0)</f>
        <v>-94522.78</v>
      </c>
    </row>
    <row r="16" customFormat="false" ht="15" hidden="false" customHeight="false" outlineLevel="0" collapsed="false">
      <c r="A16" s="12" t="str">
        <f aca="false">B16&amp;" | "&amp;C16&amp;" | "&amp;D16</f>
        <v>SDR | SAKAI | SV621D</v>
      </c>
      <c r="B16" s="26" t="s">
        <v>868</v>
      </c>
      <c r="C16" s="30" t="str">
        <f aca="false">'Datos SDR'!$B$13</f>
        <v>SAKAI</v>
      </c>
      <c r="D16" s="30" t="str">
        <f aca="false">'Datos SDR'!$C$13</f>
        <v>SV621D</v>
      </c>
      <c r="E16" s="31" t="n">
        <f aca="false">'Datos SDR'!$E$13</f>
        <v>13020</v>
      </c>
      <c r="F16" s="32" t="n">
        <f aca="false">'Datos SDR'!$Z$13</f>
        <v>0</v>
      </c>
      <c r="G16" s="33" t="n">
        <f aca="false">'Datos SDR'!$Y$13</f>
        <v>0</v>
      </c>
      <c r="H16" s="34" t="n">
        <f aca="false">'Datos SDR'!$AA$13</f>
        <v>1</v>
      </c>
      <c r="I16" s="34" t="n">
        <f aca="false">'Datos SDR'!$AB$13</f>
        <v>2</v>
      </c>
      <c r="J16" s="28" t="n">
        <v>0</v>
      </c>
      <c r="K16" s="26" t="s">
        <v>588</v>
      </c>
      <c r="L16" s="26" t="s">
        <v>869</v>
      </c>
      <c r="M16" s="35" t="n">
        <v>506</v>
      </c>
      <c r="N16" s="35" t="n">
        <v>354</v>
      </c>
      <c r="O16" s="35" t="n">
        <v>303</v>
      </c>
      <c r="P16" s="35" t="n">
        <v>152</v>
      </c>
      <c r="Q16" s="36" t="n">
        <f aca="false">INDEX(M16:P16,MATCH(TipoSuelo,{"Roca","Grava","Suelo mixto","Arcilla"},0))</f>
        <v>303</v>
      </c>
      <c r="R16" s="36" t="n">
        <f aca="false">Q16*IF(AND(C16="BOMAG",L16="SÍ"),MultTecBOMAG,1)</f>
        <v>303</v>
      </c>
      <c r="S16" s="36" t="n">
        <f aca="false">R16*Eficiencia</f>
        <v>303</v>
      </c>
      <c r="T16" s="37" t="n">
        <f aca="false">IF(AND(S16&gt;0,VolumenCompactacion&gt;0),VolumenCompactacion/S16,0)</f>
        <v>0</v>
      </c>
      <c r="U16" s="38" t="n">
        <f aca="false">G16*PrecioDiesel+H16+I16</f>
        <v>3</v>
      </c>
      <c r="V16" s="39" t="n">
        <f aca="false">T16*U16</f>
        <v>0</v>
      </c>
      <c r="W16" s="39" t="n">
        <f aca="false">G16*HorasOperacion*PrecioDiesel</f>
        <v>0</v>
      </c>
      <c r="X16" s="39" t="n">
        <f aca="false">HorasOperacion*(H16+I16)</f>
        <v>9000</v>
      </c>
      <c r="Y16" s="37" t="n">
        <f aca="false">IF(AND(B16="SDR",K16="NO"),HorasOperacion/JuntaIntervalo,0)</f>
        <v>60</v>
      </c>
      <c r="Z16" s="39" t="n">
        <f aca="false">Y16*JuntaHorasIntervencion*(JuntaTecnico+JuntaParada)+Y16*JuntaGrasa</f>
        <v>5550</v>
      </c>
      <c r="AA16" s="40" t="n">
        <f aca="false">F16+W16+X16+Z16-J16</f>
        <v>14550</v>
      </c>
      <c r="AB16" s="38" t="n">
        <f aca="false">U16+IF(Y16&gt;0,(JuntaHorasIntervencion*(JuntaTecnico+JuntaParada)+JuntaGrasa)/JuntaIntervalo,0)</f>
        <v>4.85</v>
      </c>
      <c r="AC16" s="38" t="n">
        <f aca="false">IF(HorasOperacion&gt;0,AA16/HorasOperacion,0)</f>
        <v>4.85</v>
      </c>
      <c r="AD16" s="36" t="n">
        <f aca="false">AA16*TasaMoneda</f>
        <v>14550</v>
      </c>
      <c r="AE16" s="39" t="n">
        <f aca="false">IFERROR(AA16-INDEX($AA$5:$AA$64,MATCH(1,INDEX((B$5:B$64=B16)*(C$5:C$64="BOMAG"),0),0)),0)</f>
        <v>-94522.78</v>
      </c>
    </row>
    <row r="17" customFormat="false" ht="15" hidden="false" customHeight="false" outlineLevel="0" collapsed="false">
      <c r="A17" s="12" t="str">
        <f aca="false">B17&amp;" | "&amp;C17&amp;" | "&amp;D17</f>
        <v>SDR | SAKAI | SV700D</v>
      </c>
      <c r="B17" s="26" t="s">
        <v>868</v>
      </c>
      <c r="C17" s="30" t="str">
        <f aca="false">'Datos SDR'!$B$14</f>
        <v>SAKAI</v>
      </c>
      <c r="D17" s="30" t="str">
        <f aca="false">'Datos SDR'!$C$14</f>
        <v>SV700D</v>
      </c>
      <c r="E17" s="31" t="n">
        <f aca="false">'Datos SDR'!$E$14</f>
        <v>14950</v>
      </c>
      <c r="F17" s="32" t="n">
        <f aca="false">'Datos SDR'!$Z$14</f>
        <v>0</v>
      </c>
      <c r="G17" s="33" t="n">
        <f aca="false">'Datos SDR'!$Y$14</f>
        <v>0</v>
      </c>
      <c r="H17" s="34" t="n">
        <f aca="false">'Datos SDR'!$AA$14</f>
        <v>1</v>
      </c>
      <c r="I17" s="34" t="n">
        <f aca="false">'Datos SDR'!$AB$14</f>
        <v>2</v>
      </c>
      <c r="J17" s="28" t="n">
        <v>0</v>
      </c>
      <c r="K17" s="26" t="s">
        <v>588</v>
      </c>
      <c r="L17" s="26" t="s">
        <v>869</v>
      </c>
      <c r="M17" s="35" t="n">
        <v>1085</v>
      </c>
      <c r="N17" s="35" t="n">
        <v>772</v>
      </c>
      <c r="O17" s="35" t="n">
        <v>625</v>
      </c>
      <c r="P17" s="35" t="n">
        <v>312</v>
      </c>
      <c r="Q17" s="36" t="n">
        <f aca="false">INDEX(M17:P17,MATCH(TipoSuelo,{"Roca","Grava","Suelo mixto","Arcilla"},0))</f>
        <v>625</v>
      </c>
      <c r="R17" s="36" t="n">
        <f aca="false">Q17*IF(AND(C17="BOMAG",L17="SÍ"),MultTecBOMAG,1)</f>
        <v>625</v>
      </c>
      <c r="S17" s="36" t="n">
        <f aca="false">R17*Eficiencia</f>
        <v>625</v>
      </c>
      <c r="T17" s="37" t="n">
        <f aca="false">IF(AND(S17&gt;0,VolumenCompactacion&gt;0),VolumenCompactacion/S17,0)</f>
        <v>0</v>
      </c>
      <c r="U17" s="38" t="n">
        <f aca="false">G17*PrecioDiesel+H17+I17</f>
        <v>3</v>
      </c>
      <c r="V17" s="39" t="n">
        <f aca="false">T17*U17</f>
        <v>0</v>
      </c>
      <c r="W17" s="39" t="n">
        <f aca="false">G17*HorasOperacion*PrecioDiesel</f>
        <v>0</v>
      </c>
      <c r="X17" s="39" t="n">
        <f aca="false">HorasOperacion*(H17+I17)</f>
        <v>9000</v>
      </c>
      <c r="Y17" s="37" t="n">
        <f aca="false">IF(AND(B17="SDR",K17="NO"),HorasOperacion/JuntaIntervalo,0)</f>
        <v>60</v>
      </c>
      <c r="Z17" s="39" t="n">
        <f aca="false">Y17*JuntaHorasIntervencion*(JuntaTecnico+JuntaParada)+Y17*JuntaGrasa</f>
        <v>5550</v>
      </c>
      <c r="AA17" s="40" t="n">
        <f aca="false">F17+W17+X17+Z17-J17</f>
        <v>14550</v>
      </c>
      <c r="AB17" s="38" t="n">
        <f aca="false">U17+IF(Y17&gt;0,(JuntaHorasIntervencion*(JuntaTecnico+JuntaParada)+JuntaGrasa)/JuntaIntervalo,0)</f>
        <v>4.85</v>
      </c>
      <c r="AC17" s="38" t="n">
        <f aca="false">IF(HorasOperacion&gt;0,AA17/HorasOperacion,0)</f>
        <v>4.85</v>
      </c>
      <c r="AD17" s="36" t="n">
        <f aca="false">AA17*TasaMoneda</f>
        <v>14550</v>
      </c>
      <c r="AE17" s="39" t="n">
        <f aca="false">IFERROR(AA17-INDEX($AA$5:$AA$64,MATCH(1,INDEX((B$5:B$64=B17)*(C$5:C$64="BOMAG"),0),0)),0)</f>
        <v>-94522.78</v>
      </c>
    </row>
    <row r="18" customFormat="false" ht="15" hidden="false" customHeight="false" outlineLevel="0" collapsed="false">
      <c r="A18" s="12" t="str">
        <f aca="false">B18&amp;" | "&amp;C18&amp;" | "&amp;D18</f>
        <v>SDR | SAKAI | SV900-1</v>
      </c>
      <c r="B18" s="26" t="s">
        <v>868</v>
      </c>
      <c r="C18" s="30" t="str">
        <f aca="false">'Datos SDR'!$B$15</f>
        <v>SAKAI</v>
      </c>
      <c r="D18" s="30" t="str">
        <f aca="false">'Datos SDR'!$C$15</f>
        <v>SV900-1</v>
      </c>
      <c r="E18" s="31" t="n">
        <f aca="false">'Datos SDR'!$E$15</f>
        <v>19350</v>
      </c>
      <c r="F18" s="32" t="n">
        <f aca="false">'Datos SDR'!$Z$15</f>
        <v>0</v>
      </c>
      <c r="G18" s="33" t="n">
        <f aca="false">'Datos SDR'!$Y$15</f>
        <v>0</v>
      </c>
      <c r="H18" s="34" t="n">
        <f aca="false">'Datos SDR'!$AA$15</f>
        <v>1</v>
      </c>
      <c r="I18" s="34" t="n">
        <f aca="false">'Datos SDR'!$AB$15</f>
        <v>2</v>
      </c>
      <c r="J18" s="28" t="n">
        <v>0</v>
      </c>
      <c r="K18" s="26" t="s">
        <v>588</v>
      </c>
      <c r="L18" s="26" t="s">
        <v>869</v>
      </c>
      <c r="M18" s="35" t="n">
        <v>976</v>
      </c>
      <c r="N18" s="35" t="n">
        <v>564</v>
      </c>
      <c r="O18" s="35" t="n">
        <v>541</v>
      </c>
      <c r="P18" s="35" t="n">
        <v>312</v>
      </c>
      <c r="Q18" s="36" t="n">
        <f aca="false">INDEX(M18:P18,MATCH(TipoSuelo,{"Roca","Grava","Suelo mixto","Arcilla"},0))</f>
        <v>541</v>
      </c>
      <c r="R18" s="36" t="n">
        <f aca="false">Q18*IF(AND(C18="BOMAG",L18="SÍ"),MultTecBOMAG,1)</f>
        <v>541</v>
      </c>
      <c r="S18" s="36" t="n">
        <f aca="false">R18*Eficiencia</f>
        <v>541</v>
      </c>
      <c r="T18" s="37" t="n">
        <f aca="false">IF(AND(S18&gt;0,VolumenCompactacion&gt;0),VolumenCompactacion/S18,0)</f>
        <v>0</v>
      </c>
      <c r="U18" s="38" t="n">
        <f aca="false">G18*PrecioDiesel+H18+I18</f>
        <v>3</v>
      </c>
      <c r="V18" s="39" t="n">
        <f aca="false">T18*U18</f>
        <v>0</v>
      </c>
      <c r="W18" s="39" t="n">
        <f aca="false">G18*HorasOperacion*PrecioDiesel</f>
        <v>0</v>
      </c>
      <c r="X18" s="39" t="n">
        <f aca="false">HorasOperacion*(H18+I18)</f>
        <v>9000</v>
      </c>
      <c r="Y18" s="37" t="n">
        <f aca="false">IF(AND(B18="SDR",K18="NO"),HorasOperacion/JuntaIntervalo,0)</f>
        <v>60</v>
      </c>
      <c r="Z18" s="39" t="n">
        <f aca="false">Y18*JuntaHorasIntervencion*(JuntaTecnico+JuntaParada)+Y18*JuntaGrasa</f>
        <v>5550</v>
      </c>
      <c r="AA18" s="40" t="n">
        <f aca="false">F18+W18+X18+Z18-J18</f>
        <v>14550</v>
      </c>
      <c r="AB18" s="38" t="n">
        <f aca="false">U18+IF(Y18&gt;0,(JuntaHorasIntervencion*(JuntaTecnico+JuntaParada)+JuntaGrasa)/JuntaIntervalo,0)</f>
        <v>4.85</v>
      </c>
      <c r="AC18" s="38" t="n">
        <f aca="false">IF(HorasOperacion&gt;0,AA18/HorasOperacion,0)</f>
        <v>4.85</v>
      </c>
      <c r="AD18" s="36" t="n">
        <f aca="false">AA18*TasaMoneda</f>
        <v>14550</v>
      </c>
      <c r="AE18" s="39" t="n">
        <f aca="false">IFERROR(AA18-INDEX($AA$5:$AA$64,MATCH(1,INDEX((B$5:B$64=B18)*(C$5:C$64="BOMAG"),0),0)),0)</f>
        <v>-94522.78</v>
      </c>
    </row>
    <row r="19" customFormat="false" ht="15" hidden="false" customHeight="false" outlineLevel="0" collapsed="false">
      <c r="A19" s="12" t="str">
        <f aca="false">B19&amp;" | "&amp;C19&amp;" | "&amp;D19</f>
        <v>SDR | DYNAPAC | CA25 D-Rhino</v>
      </c>
      <c r="B19" s="26" t="s">
        <v>868</v>
      </c>
      <c r="C19" s="30" t="str">
        <f aca="false">'Datos SDR'!$B$16</f>
        <v>DYNAPAC</v>
      </c>
      <c r="D19" s="30" t="str">
        <f aca="false">'Datos SDR'!$C$16</f>
        <v>CA25 D-Rhino</v>
      </c>
      <c r="E19" s="31" t="n">
        <f aca="false">'Datos SDR'!$E$16</f>
        <v>10400</v>
      </c>
      <c r="F19" s="32" t="n">
        <f aca="false">'Datos SDR'!$Z$16</f>
        <v>90000</v>
      </c>
      <c r="G19" s="33" t="n">
        <f aca="false">'Datos SDR'!$Y$16</f>
        <v>13.6</v>
      </c>
      <c r="H19" s="34" t="n">
        <f aca="false">'Datos SDR'!$AA$16</f>
        <v>1</v>
      </c>
      <c r="I19" s="34" t="n">
        <f aca="false">'Datos SDR'!$AB$16</f>
        <v>2</v>
      </c>
      <c r="J19" s="28" t="n">
        <v>0</v>
      </c>
      <c r="K19" s="26" t="s">
        <v>588</v>
      </c>
      <c r="L19" s="26" t="s">
        <v>869</v>
      </c>
      <c r="M19" s="35" t="n">
        <v>633</v>
      </c>
      <c r="N19" s="35" t="n">
        <v>433</v>
      </c>
      <c r="O19" s="35" t="n">
        <v>387</v>
      </c>
      <c r="P19" s="35" t="n">
        <v>193</v>
      </c>
      <c r="Q19" s="36" t="n">
        <f aca="false">INDEX(M19:P19,MATCH(TipoSuelo,{"Roca","Grava","Suelo mixto","Arcilla"},0))</f>
        <v>387</v>
      </c>
      <c r="R19" s="36" t="n">
        <f aca="false">Q19*IF(AND(C19="BOMAG",L19="SÍ"),MultTecBOMAG,1)</f>
        <v>387</v>
      </c>
      <c r="S19" s="36" t="n">
        <f aca="false">R19*Eficiencia</f>
        <v>387</v>
      </c>
      <c r="T19" s="37" t="n">
        <f aca="false">IF(AND(S19&gt;0,VolumenCompactacion&gt;0),VolumenCompactacion/S19,0)</f>
        <v>0</v>
      </c>
      <c r="U19" s="38" t="n">
        <f aca="false">G19*PrecioDiesel+H19+I19</f>
        <v>19.32</v>
      </c>
      <c r="V19" s="39" t="n">
        <f aca="false">T19*U19</f>
        <v>0</v>
      </c>
      <c r="W19" s="39" t="n">
        <f aca="false">G19*HorasOperacion*PrecioDiesel</f>
        <v>48960</v>
      </c>
      <c r="X19" s="39" t="n">
        <f aca="false">HorasOperacion*(H19+I19)</f>
        <v>9000</v>
      </c>
      <c r="Y19" s="37" t="n">
        <f aca="false">IF(AND(B19="SDR",K19="NO"),HorasOperacion/JuntaIntervalo,0)</f>
        <v>60</v>
      </c>
      <c r="Z19" s="39" t="n">
        <f aca="false">Y19*JuntaHorasIntervencion*(JuntaTecnico+JuntaParada)+Y19*JuntaGrasa</f>
        <v>5550</v>
      </c>
      <c r="AA19" s="40" t="n">
        <f aca="false">F19+W19+X19+Z19-J19</f>
        <v>153510</v>
      </c>
      <c r="AB19" s="38" t="n">
        <f aca="false">U19+IF(Y19&gt;0,(JuntaHorasIntervencion*(JuntaTecnico+JuntaParada)+JuntaGrasa)/JuntaIntervalo,0)</f>
        <v>21.17</v>
      </c>
      <c r="AC19" s="38" t="n">
        <f aca="false">IF(HorasOperacion&gt;0,AA19/HorasOperacion,0)</f>
        <v>51.17</v>
      </c>
      <c r="AD19" s="36" t="n">
        <f aca="false">AA19*TasaMoneda</f>
        <v>153510</v>
      </c>
      <c r="AE19" s="39" t="n">
        <f aca="false">IFERROR(AA19-INDEX($AA$5:$AA$64,MATCH(1,INDEX((B$5:B$64=B19)*(C$5:C$64="BOMAG"),0),0)),0)</f>
        <v>44437.22</v>
      </c>
    </row>
    <row r="20" customFormat="false" ht="15" hidden="false" customHeight="false" outlineLevel="0" collapsed="false">
      <c r="A20" s="12" t="str">
        <f aca="false">B20&amp;" | "&amp;C20&amp;" | "&amp;D20</f>
        <v>SDR | DYNAPAC | CA35 D-Rhino</v>
      </c>
      <c r="B20" s="26" t="s">
        <v>868</v>
      </c>
      <c r="C20" s="30" t="str">
        <f aca="false">'Datos SDR'!$B$17</f>
        <v>DYNAPAC</v>
      </c>
      <c r="D20" s="30" t="str">
        <f aca="false">'Datos SDR'!$C$17</f>
        <v>CA35 D-Rhino</v>
      </c>
      <c r="E20" s="31" t="n">
        <f aca="false">'Datos SDR'!$E$17</f>
        <v>12200</v>
      </c>
      <c r="F20" s="32" t="n">
        <f aca="false">'Datos SDR'!$Z$17</f>
        <v>90000</v>
      </c>
      <c r="G20" s="33" t="n">
        <f aca="false">'Datos SDR'!$Y$17</f>
        <v>13.6</v>
      </c>
      <c r="H20" s="34" t="n">
        <f aca="false">'Datos SDR'!$AA$17</f>
        <v>1</v>
      </c>
      <c r="I20" s="34" t="n">
        <f aca="false">'Datos SDR'!$AB$17</f>
        <v>2</v>
      </c>
      <c r="J20" s="28" t="n">
        <v>0</v>
      </c>
      <c r="K20" s="26" t="s">
        <v>588</v>
      </c>
      <c r="L20" s="26" t="s">
        <v>869</v>
      </c>
      <c r="M20" s="35" t="n">
        <v>820</v>
      </c>
      <c r="N20" s="35" t="n">
        <v>630</v>
      </c>
      <c r="O20" s="35" t="n">
        <v>540</v>
      </c>
      <c r="P20" s="35" t="n">
        <v>270</v>
      </c>
      <c r="Q20" s="36" t="n">
        <f aca="false">INDEX(M20:P20,MATCH(TipoSuelo,{"Roca","Grava","Suelo mixto","Arcilla"},0))</f>
        <v>540</v>
      </c>
      <c r="R20" s="36" t="n">
        <f aca="false">Q20*IF(AND(C20="BOMAG",L20="SÍ"),MultTecBOMAG,1)</f>
        <v>540</v>
      </c>
      <c r="S20" s="36" t="n">
        <f aca="false">R20*Eficiencia</f>
        <v>540</v>
      </c>
      <c r="T20" s="37" t="n">
        <f aca="false">IF(AND(S20&gt;0,VolumenCompactacion&gt;0),VolumenCompactacion/S20,0)</f>
        <v>0</v>
      </c>
      <c r="U20" s="38" t="n">
        <f aca="false">G20*PrecioDiesel+H20+I20</f>
        <v>19.32</v>
      </c>
      <c r="V20" s="39" t="n">
        <f aca="false">T20*U20</f>
        <v>0</v>
      </c>
      <c r="W20" s="39" t="n">
        <f aca="false">G20*HorasOperacion*PrecioDiesel</f>
        <v>48960</v>
      </c>
      <c r="X20" s="39" t="n">
        <f aca="false">HorasOperacion*(H20+I20)</f>
        <v>9000</v>
      </c>
      <c r="Y20" s="37" t="n">
        <f aca="false">IF(AND(B20="SDR",K20="NO"),HorasOperacion/JuntaIntervalo,0)</f>
        <v>60</v>
      </c>
      <c r="Z20" s="39" t="n">
        <f aca="false">Y20*JuntaHorasIntervencion*(JuntaTecnico+JuntaParada)+Y20*JuntaGrasa</f>
        <v>5550</v>
      </c>
      <c r="AA20" s="40" t="n">
        <f aca="false">F20+W20+X20+Z20-J20</f>
        <v>153510</v>
      </c>
      <c r="AB20" s="38" t="n">
        <f aca="false">U20+IF(Y20&gt;0,(JuntaHorasIntervencion*(JuntaTecnico+JuntaParada)+JuntaGrasa)/JuntaIntervalo,0)</f>
        <v>21.17</v>
      </c>
      <c r="AC20" s="38" t="n">
        <f aca="false">IF(HorasOperacion&gt;0,AA20/HorasOperacion,0)</f>
        <v>51.17</v>
      </c>
      <c r="AD20" s="36" t="n">
        <f aca="false">AA20*TasaMoneda</f>
        <v>153510</v>
      </c>
      <c r="AE20" s="39" t="n">
        <f aca="false">IFERROR(AA20-INDEX($AA$5:$AA$64,MATCH(1,INDEX((B$5:B$64=B20)*(C$5:C$64="BOMAG"),0),0)),0)</f>
        <v>44437.22</v>
      </c>
    </row>
    <row r="21" customFormat="false" ht="15" hidden="false" customHeight="false" outlineLevel="0" collapsed="false">
      <c r="A21" s="12" t="str">
        <f aca="false">B21&amp;" | "&amp;C21&amp;" | "&amp;D21</f>
        <v>SDR | DYNAPAC | CA2500D</v>
      </c>
      <c r="B21" s="26" t="s">
        <v>868</v>
      </c>
      <c r="C21" s="30" t="str">
        <f aca="false">'Datos SDR'!$B$18</f>
        <v>DYNAPAC</v>
      </c>
      <c r="D21" s="30" t="str">
        <f aca="false">'Datos SDR'!$C$18</f>
        <v>CA2500D</v>
      </c>
      <c r="E21" s="31" t="n">
        <f aca="false">'Datos SDR'!$E$18</f>
        <v>10000</v>
      </c>
      <c r="F21" s="32" t="n">
        <f aca="false">'Datos SDR'!$Z$18</f>
        <v>0</v>
      </c>
      <c r="G21" s="33" t="n">
        <f aca="false">'Datos SDR'!$Y$18</f>
        <v>0</v>
      </c>
      <c r="H21" s="34" t="n">
        <f aca="false">'Datos SDR'!$AA$18</f>
        <v>1</v>
      </c>
      <c r="I21" s="34" t="n">
        <f aca="false">'Datos SDR'!$AB$18</f>
        <v>2</v>
      </c>
      <c r="J21" s="28" t="n">
        <v>0</v>
      </c>
      <c r="K21" s="26" t="s">
        <v>588</v>
      </c>
      <c r="L21" s="26" t="s">
        <v>869</v>
      </c>
      <c r="M21" s="35" t="n">
        <v>567</v>
      </c>
      <c r="N21" s="35" t="n">
        <v>367</v>
      </c>
      <c r="O21" s="35" t="n">
        <v>333</v>
      </c>
      <c r="P21" s="35" t="n">
        <v>167</v>
      </c>
      <c r="Q21" s="36" t="n">
        <f aca="false">INDEX(M21:P21,MATCH(TipoSuelo,{"Roca","Grava","Suelo mixto","Arcilla"},0))</f>
        <v>333</v>
      </c>
      <c r="R21" s="36" t="n">
        <f aca="false">Q21*IF(AND(C21="BOMAG",L21="SÍ"),MultTecBOMAG,1)</f>
        <v>333</v>
      </c>
      <c r="S21" s="36" t="n">
        <f aca="false">R21*Eficiencia</f>
        <v>333</v>
      </c>
      <c r="T21" s="37" t="n">
        <f aca="false">IF(AND(S21&gt;0,VolumenCompactacion&gt;0),VolumenCompactacion/S21,0)</f>
        <v>0</v>
      </c>
      <c r="U21" s="38" t="n">
        <f aca="false">G21*PrecioDiesel+H21+I21</f>
        <v>3</v>
      </c>
      <c r="V21" s="39" t="n">
        <f aca="false">T21*U21</f>
        <v>0</v>
      </c>
      <c r="W21" s="39" t="n">
        <f aca="false">G21*HorasOperacion*PrecioDiesel</f>
        <v>0</v>
      </c>
      <c r="X21" s="39" t="n">
        <f aca="false">HorasOperacion*(H21+I21)</f>
        <v>9000</v>
      </c>
      <c r="Y21" s="37" t="n">
        <f aca="false">IF(AND(B21="SDR",K21="NO"),HorasOperacion/JuntaIntervalo,0)</f>
        <v>60</v>
      </c>
      <c r="Z21" s="39" t="n">
        <f aca="false">Y21*JuntaHorasIntervencion*(JuntaTecnico+JuntaParada)+Y21*JuntaGrasa</f>
        <v>5550</v>
      </c>
      <c r="AA21" s="40" t="n">
        <f aca="false">F21+W21+X21+Z21-J21</f>
        <v>14550</v>
      </c>
      <c r="AB21" s="38" t="n">
        <f aca="false">U21+IF(Y21&gt;0,(JuntaHorasIntervencion*(JuntaTecnico+JuntaParada)+JuntaGrasa)/JuntaIntervalo,0)</f>
        <v>4.85</v>
      </c>
      <c r="AC21" s="38" t="n">
        <f aca="false">IF(HorasOperacion&gt;0,AA21/HorasOperacion,0)</f>
        <v>4.85</v>
      </c>
      <c r="AD21" s="36" t="n">
        <f aca="false">AA21*TasaMoneda</f>
        <v>14550</v>
      </c>
      <c r="AE21" s="39" t="n">
        <f aca="false">IFERROR(AA21-INDEX($AA$5:$AA$64,MATCH(1,INDEX((B$5:B$64=B21)*(C$5:C$64="BOMAG"),0),0)),0)</f>
        <v>-94522.78</v>
      </c>
    </row>
    <row r="22" customFormat="false" ht="15" hidden="false" customHeight="false" outlineLevel="0" collapsed="false">
      <c r="A22" s="12" t="str">
        <f aca="false">B22&amp;" | "&amp;C22&amp;" | "&amp;D22</f>
        <v>SDR | DYNAPAC | CA3500D</v>
      </c>
      <c r="B22" s="26" t="s">
        <v>868</v>
      </c>
      <c r="C22" s="30" t="str">
        <f aca="false">'Datos SDR'!$B$19</f>
        <v>DYNAPAC</v>
      </c>
      <c r="D22" s="30" t="str">
        <f aca="false">'Datos SDR'!$C$19</f>
        <v>CA3500D</v>
      </c>
      <c r="E22" s="31" t="n">
        <f aca="false">'Datos SDR'!$E$19</f>
        <v>16000</v>
      </c>
      <c r="F22" s="32" t="n">
        <f aca="false">'Datos SDR'!$Z$19</f>
        <v>90000</v>
      </c>
      <c r="G22" s="33" t="n">
        <f aca="false">'Datos SDR'!$Y$19</f>
        <v>13.6</v>
      </c>
      <c r="H22" s="34" t="n">
        <f aca="false">'Datos SDR'!$AA$19</f>
        <v>1</v>
      </c>
      <c r="I22" s="34" t="n">
        <f aca="false">'Datos SDR'!$AB$19</f>
        <v>2</v>
      </c>
      <c r="J22" s="28" t="n">
        <v>0</v>
      </c>
      <c r="K22" s="26" t="s">
        <v>588</v>
      </c>
      <c r="L22" s="26" t="s">
        <v>869</v>
      </c>
      <c r="M22" s="35" t="n">
        <v>1400</v>
      </c>
      <c r="N22" s="35" t="n">
        <v>1000</v>
      </c>
      <c r="O22" s="35" t="n">
        <v>800</v>
      </c>
      <c r="P22" s="35" t="n">
        <v>400</v>
      </c>
      <c r="Q22" s="36" t="n">
        <f aca="false">INDEX(M22:P22,MATCH(TipoSuelo,{"Roca","Grava","Suelo mixto","Arcilla"},0))</f>
        <v>800</v>
      </c>
      <c r="R22" s="36" t="n">
        <f aca="false">Q22*IF(AND(C22="BOMAG",L22="SÍ"),MultTecBOMAG,1)</f>
        <v>800</v>
      </c>
      <c r="S22" s="36" t="n">
        <f aca="false">R22*Eficiencia</f>
        <v>800</v>
      </c>
      <c r="T22" s="37" t="n">
        <f aca="false">IF(AND(S22&gt;0,VolumenCompactacion&gt;0),VolumenCompactacion/S22,0)</f>
        <v>0</v>
      </c>
      <c r="U22" s="38" t="n">
        <f aca="false">G22*PrecioDiesel+H22+I22</f>
        <v>19.32</v>
      </c>
      <c r="V22" s="39" t="n">
        <f aca="false">T22*U22</f>
        <v>0</v>
      </c>
      <c r="W22" s="39" t="n">
        <f aca="false">G22*HorasOperacion*PrecioDiesel</f>
        <v>48960</v>
      </c>
      <c r="X22" s="39" t="n">
        <f aca="false">HorasOperacion*(H22+I22)</f>
        <v>9000</v>
      </c>
      <c r="Y22" s="37" t="n">
        <f aca="false">IF(AND(B22="SDR",K22="NO"),HorasOperacion/JuntaIntervalo,0)</f>
        <v>60</v>
      </c>
      <c r="Z22" s="39" t="n">
        <f aca="false">Y22*JuntaHorasIntervencion*(JuntaTecnico+JuntaParada)+Y22*JuntaGrasa</f>
        <v>5550</v>
      </c>
      <c r="AA22" s="40" t="n">
        <f aca="false">F22+W22+X22+Z22-J22</f>
        <v>153510</v>
      </c>
      <c r="AB22" s="38" t="n">
        <f aca="false">U22+IF(Y22&gt;0,(JuntaHorasIntervencion*(JuntaTecnico+JuntaParada)+JuntaGrasa)/JuntaIntervalo,0)</f>
        <v>21.17</v>
      </c>
      <c r="AC22" s="38" t="n">
        <f aca="false">IF(HorasOperacion&gt;0,AA22/HorasOperacion,0)</f>
        <v>51.17</v>
      </c>
      <c r="AD22" s="36" t="n">
        <f aca="false">AA22*TasaMoneda</f>
        <v>153510</v>
      </c>
      <c r="AE22" s="39" t="n">
        <f aca="false">IFERROR(AA22-INDEX($AA$5:$AA$64,MATCH(1,INDEX((B$5:B$64=B22)*(C$5:C$64="BOMAG"),0),0)),0)</f>
        <v>44437.22</v>
      </c>
    </row>
    <row r="23" customFormat="false" ht="15" hidden="false" customHeight="false" outlineLevel="0" collapsed="false">
      <c r="A23" s="12" t="str">
        <f aca="false">B23&amp;" | "&amp;C23&amp;" | "&amp;D23</f>
        <v>SDR | DYNAPAC | CA4500D</v>
      </c>
      <c r="B23" s="26" t="s">
        <v>868</v>
      </c>
      <c r="C23" s="30" t="str">
        <f aca="false">'Datos SDR'!$B$20</f>
        <v>DYNAPAC</v>
      </c>
      <c r="D23" s="30" t="str">
        <f aca="false">'Datos SDR'!$C$20</f>
        <v>CA4500D</v>
      </c>
      <c r="E23" s="31" t="n">
        <f aca="false">'Datos SDR'!$E$20</f>
        <v>21000</v>
      </c>
      <c r="F23" s="32" t="n">
        <f aca="false">'Datos SDR'!$Z$20</f>
        <v>0</v>
      </c>
      <c r="G23" s="33" t="n">
        <f aca="false">'Datos SDR'!$Y$20</f>
        <v>0</v>
      </c>
      <c r="H23" s="34" t="n">
        <f aca="false">'Datos SDR'!$AA$20</f>
        <v>1</v>
      </c>
      <c r="I23" s="34" t="n">
        <f aca="false">'Datos SDR'!$AB$20</f>
        <v>2</v>
      </c>
      <c r="J23" s="28" t="n">
        <v>0</v>
      </c>
      <c r="K23" s="26" t="s">
        <v>588</v>
      </c>
      <c r="L23" s="26" t="s">
        <v>869</v>
      </c>
      <c r="M23" s="35" t="n">
        <v>1333</v>
      </c>
      <c r="N23" s="35" t="n">
        <v>867</v>
      </c>
      <c r="O23" s="35" t="n">
        <v>733</v>
      </c>
      <c r="P23" s="35" t="n">
        <v>367</v>
      </c>
      <c r="Q23" s="36" t="n">
        <f aca="false">INDEX(M23:P23,MATCH(TipoSuelo,{"Roca","Grava","Suelo mixto","Arcilla"},0))</f>
        <v>733</v>
      </c>
      <c r="R23" s="36" t="n">
        <f aca="false">Q23*IF(AND(C23="BOMAG",L23="SÍ"),MultTecBOMAG,1)</f>
        <v>733</v>
      </c>
      <c r="S23" s="36" t="n">
        <f aca="false">R23*Eficiencia</f>
        <v>733</v>
      </c>
      <c r="T23" s="37" t="n">
        <f aca="false">IF(AND(S23&gt;0,VolumenCompactacion&gt;0),VolumenCompactacion/S23,0)</f>
        <v>0</v>
      </c>
      <c r="U23" s="38" t="n">
        <f aca="false">G23*PrecioDiesel+H23+I23</f>
        <v>3</v>
      </c>
      <c r="V23" s="39" t="n">
        <f aca="false">T23*U23</f>
        <v>0</v>
      </c>
      <c r="W23" s="39" t="n">
        <f aca="false">G23*HorasOperacion*PrecioDiesel</f>
        <v>0</v>
      </c>
      <c r="X23" s="39" t="n">
        <f aca="false">HorasOperacion*(H23+I23)</f>
        <v>9000</v>
      </c>
      <c r="Y23" s="37" t="n">
        <f aca="false">IF(AND(B23="SDR",K23="NO"),HorasOperacion/JuntaIntervalo,0)</f>
        <v>60</v>
      </c>
      <c r="Z23" s="39" t="n">
        <f aca="false">Y23*JuntaHorasIntervencion*(JuntaTecnico+JuntaParada)+Y23*JuntaGrasa</f>
        <v>5550</v>
      </c>
      <c r="AA23" s="40" t="n">
        <f aca="false">F23+W23+X23+Z23-J23</f>
        <v>14550</v>
      </c>
      <c r="AB23" s="38" t="n">
        <f aca="false">U23+IF(Y23&gt;0,(JuntaHorasIntervencion*(JuntaTecnico+JuntaParada)+JuntaGrasa)/JuntaIntervalo,0)</f>
        <v>4.85</v>
      </c>
      <c r="AC23" s="38" t="n">
        <f aca="false">IF(HorasOperacion&gt;0,AA23/HorasOperacion,0)</f>
        <v>4.85</v>
      </c>
      <c r="AD23" s="36" t="n">
        <f aca="false">AA23*TasaMoneda</f>
        <v>14550</v>
      </c>
      <c r="AE23" s="39" t="n">
        <f aca="false">IFERROR(AA23-INDEX($AA$5:$AA$64,MATCH(1,INDEX((B$5:B$64=B23)*(C$5:C$64="BOMAG"),0),0)),0)</f>
        <v>-94522.78</v>
      </c>
    </row>
    <row r="24" customFormat="false" ht="15" hidden="false" customHeight="false" outlineLevel="0" collapsed="false">
      <c r="A24" s="12" t="str">
        <f aca="false">B24&amp;" | "&amp;C24&amp;" | "&amp;D24</f>
        <v>SDR | DYNAPAC REDLINE | DRS120D</v>
      </c>
      <c r="B24" s="26" t="s">
        <v>868</v>
      </c>
      <c r="C24" s="30" t="str">
        <f aca="false">'Datos SDR'!$B$21</f>
        <v>DYNAPAC REDLINE</v>
      </c>
      <c r="D24" s="30" t="str">
        <f aca="false">'Datos SDR'!$C$21</f>
        <v>DRS120D</v>
      </c>
      <c r="E24" s="31" t="n">
        <f aca="false">'Datos SDR'!$E$21</f>
        <v>11400</v>
      </c>
      <c r="F24" s="32" t="n">
        <f aca="false">'Datos SDR'!$Z$21</f>
        <v>0</v>
      </c>
      <c r="G24" s="33" t="n">
        <f aca="false">'Datos SDR'!$Y$21</f>
        <v>0</v>
      </c>
      <c r="H24" s="34" t="n">
        <f aca="false">'Datos SDR'!$AA$21</f>
        <v>1</v>
      </c>
      <c r="I24" s="34" t="n">
        <f aca="false">'Datos SDR'!$AB$21</f>
        <v>2</v>
      </c>
      <c r="J24" s="28" t="n">
        <v>0</v>
      </c>
      <c r="K24" s="26" t="s">
        <v>588</v>
      </c>
      <c r="L24" s="26" t="s">
        <v>869</v>
      </c>
      <c r="M24" s="35" t="n">
        <v>800</v>
      </c>
      <c r="N24" s="35" t="n">
        <v>600</v>
      </c>
      <c r="O24" s="35" t="n">
        <v>520</v>
      </c>
      <c r="P24" s="35" t="n">
        <v>260</v>
      </c>
      <c r="Q24" s="36" t="n">
        <f aca="false">INDEX(M24:P24,MATCH(TipoSuelo,{"Roca","Grava","Suelo mixto","Arcilla"},0))</f>
        <v>520</v>
      </c>
      <c r="R24" s="36" t="n">
        <f aca="false">Q24*IF(AND(C24="BOMAG",L24="SÍ"),MultTecBOMAG,1)</f>
        <v>520</v>
      </c>
      <c r="S24" s="36" t="n">
        <f aca="false">R24*Eficiencia</f>
        <v>520</v>
      </c>
      <c r="T24" s="37" t="n">
        <f aca="false">IF(AND(S24&gt;0,VolumenCompactacion&gt;0),VolumenCompactacion/S24,0)</f>
        <v>0</v>
      </c>
      <c r="U24" s="38" t="n">
        <f aca="false">G24*PrecioDiesel+H24+I24</f>
        <v>3</v>
      </c>
      <c r="V24" s="39" t="n">
        <f aca="false">T24*U24</f>
        <v>0</v>
      </c>
      <c r="W24" s="39" t="n">
        <f aca="false">G24*HorasOperacion*PrecioDiesel</f>
        <v>0</v>
      </c>
      <c r="X24" s="39" t="n">
        <f aca="false">HorasOperacion*(H24+I24)</f>
        <v>9000</v>
      </c>
      <c r="Y24" s="37" t="n">
        <f aca="false">IF(AND(B24="SDR",K24="NO"),HorasOperacion/JuntaIntervalo,0)</f>
        <v>60</v>
      </c>
      <c r="Z24" s="39" t="n">
        <f aca="false">Y24*JuntaHorasIntervencion*(JuntaTecnico+JuntaParada)+Y24*JuntaGrasa</f>
        <v>5550</v>
      </c>
      <c r="AA24" s="40" t="n">
        <f aca="false">F24+W24+X24+Z24-J24</f>
        <v>14550</v>
      </c>
      <c r="AB24" s="38" t="n">
        <f aca="false">U24+IF(Y24&gt;0,(JuntaHorasIntervencion*(JuntaTecnico+JuntaParada)+JuntaGrasa)/JuntaIntervalo,0)</f>
        <v>4.85</v>
      </c>
      <c r="AC24" s="38" t="n">
        <f aca="false">IF(HorasOperacion&gt;0,AA24/HorasOperacion,0)</f>
        <v>4.85</v>
      </c>
      <c r="AD24" s="36" t="n">
        <f aca="false">AA24*TasaMoneda</f>
        <v>14550</v>
      </c>
      <c r="AE24" s="39" t="n">
        <f aca="false">IFERROR(AA24-INDEX($AA$5:$AA$64,MATCH(1,INDEX((B$5:B$64=B24)*(C$5:C$64="BOMAG"),0),0)),0)</f>
        <v>-94522.78</v>
      </c>
    </row>
    <row r="25" customFormat="false" ht="15" hidden="false" customHeight="false" outlineLevel="0" collapsed="false">
      <c r="A25" s="12" t="str">
        <f aca="false">B25&amp;" | "&amp;C25&amp;" | "&amp;D25</f>
        <v>SDR | HAMM | HC110</v>
      </c>
      <c r="B25" s="26" t="s">
        <v>868</v>
      </c>
      <c r="C25" s="30" t="str">
        <f aca="false">'Datos SDR'!$B$22</f>
        <v>HAMM</v>
      </c>
      <c r="D25" s="30" t="str">
        <f aca="false">'Datos SDR'!$C$22</f>
        <v>HC110</v>
      </c>
      <c r="E25" s="31" t="n">
        <f aca="false">'Datos SDR'!$E$22</f>
        <v>11765</v>
      </c>
      <c r="F25" s="32" t="n">
        <f aca="false">'Datos SDR'!$Z$22</f>
        <v>91845.1</v>
      </c>
      <c r="G25" s="33" t="n">
        <f aca="false">'Datos SDR'!$Y$22</f>
        <v>13.6</v>
      </c>
      <c r="H25" s="34" t="n">
        <f aca="false">'Datos SDR'!$AA$22</f>
        <v>1</v>
      </c>
      <c r="I25" s="34" t="n">
        <f aca="false">'Datos SDR'!$AB$22</f>
        <v>2</v>
      </c>
      <c r="J25" s="28" t="n">
        <v>0</v>
      </c>
      <c r="K25" s="26" t="s">
        <v>588</v>
      </c>
      <c r="L25" s="26" t="s">
        <v>869</v>
      </c>
      <c r="M25" s="35" t="n">
        <v>861</v>
      </c>
      <c r="N25" s="35" t="n">
        <v>661</v>
      </c>
      <c r="O25" s="35" t="n">
        <v>569</v>
      </c>
      <c r="P25" s="35" t="n">
        <v>284</v>
      </c>
      <c r="Q25" s="36" t="n">
        <f aca="false">INDEX(M25:P25,MATCH(TipoSuelo,{"Roca","Grava","Suelo mixto","Arcilla"},0))</f>
        <v>569</v>
      </c>
      <c r="R25" s="36" t="n">
        <f aca="false">Q25*IF(AND(C25="BOMAG",L25="SÍ"),MultTecBOMAG,1)</f>
        <v>569</v>
      </c>
      <c r="S25" s="36" t="n">
        <f aca="false">R25*Eficiencia</f>
        <v>569</v>
      </c>
      <c r="T25" s="37" t="n">
        <f aca="false">IF(AND(S25&gt;0,VolumenCompactacion&gt;0),VolumenCompactacion/S25,0)</f>
        <v>0</v>
      </c>
      <c r="U25" s="38" t="n">
        <f aca="false">G25*PrecioDiesel+H25+I25</f>
        <v>19.32</v>
      </c>
      <c r="V25" s="39" t="n">
        <f aca="false">T25*U25</f>
        <v>0</v>
      </c>
      <c r="W25" s="39" t="n">
        <f aca="false">G25*HorasOperacion*PrecioDiesel</f>
        <v>48960</v>
      </c>
      <c r="X25" s="39" t="n">
        <f aca="false">HorasOperacion*(H25+I25)</f>
        <v>9000</v>
      </c>
      <c r="Y25" s="37" t="n">
        <f aca="false">IF(AND(B25="SDR",K25="NO"),HorasOperacion/JuntaIntervalo,0)</f>
        <v>60</v>
      </c>
      <c r="Z25" s="39" t="n">
        <f aca="false">Y25*JuntaHorasIntervencion*(JuntaTecnico+JuntaParada)+Y25*JuntaGrasa</f>
        <v>5550</v>
      </c>
      <c r="AA25" s="40" t="n">
        <f aca="false">F25+W25+X25+Z25-J25</f>
        <v>155355.1</v>
      </c>
      <c r="AB25" s="38" t="n">
        <f aca="false">U25+IF(Y25&gt;0,(JuntaHorasIntervencion*(JuntaTecnico+JuntaParada)+JuntaGrasa)/JuntaIntervalo,0)</f>
        <v>21.17</v>
      </c>
      <c r="AC25" s="38" t="n">
        <f aca="false">IF(HorasOperacion&gt;0,AA25/HorasOperacion,0)</f>
        <v>51.7850333333333</v>
      </c>
      <c r="AD25" s="36" t="n">
        <f aca="false">AA25*TasaMoneda</f>
        <v>155355.1</v>
      </c>
      <c r="AE25" s="39" t="n">
        <f aca="false">IFERROR(AA25-INDEX($AA$5:$AA$64,MATCH(1,INDEX((B$5:B$64=B25)*(C$5:C$64="BOMAG"),0),0)),0)</f>
        <v>46282.32</v>
      </c>
    </row>
    <row r="26" customFormat="false" ht="15" hidden="false" customHeight="false" outlineLevel="0" collapsed="false">
      <c r="A26" s="12" t="str">
        <f aca="false">B26&amp;" | "&amp;C26&amp;" | "&amp;D26</f>
        <v>SDR | HAMM | HC119</v>
      </c>
      <c r="B26" s="26" t="s">
        <v>868</v>
      </c>
      <c r="C26" s="30" t="str">
        <f aca="false">'Datos SDR'!$B$23</f>
        <v>HAMM</v>
      </c>
      <c r="D26" s="30" t="str">
        <f aca="false">'Datos SDR'!$C$23</f>
        <v>HC119</v>
      </c>
      <c r="E26" s="31" t="n">
        <f aca="false">'Datos SDR'!$E$23</f>
        <v>11745</v>
      </c>
      <c r="F26" s="32" t="n">
        <f aca="false">'Datos SDR'!$Z$23</f>
        <v>91845.1</v>
      </c>
      <c r="G26" s="33" t="n">
        <f aca="false">'Datos SDR'!$Y$23</f>
        <v>13.6</v>
      </c>
      <c r="H26" s="34" t="n">
        <f aca="false">'Datos SDR'!$AA$23</f>
        <v>1</v>
      </c>
      <c r="I26" s="34" t="n">
        <f aca="false">'Datos SDR'!$AB$23</f>
        <v>2</v>
      </c>
      <c r="J26" s="28" t="n">
        <v>0</v>
      </c>
      <c r="K26" s="26" t="s">
        <v>588</v>
      </c>
      <c r="L26" s="26" t="s">
        <v>869</v>
      </c>
      <c r="M26" s="35" t="n">
        <v>857</v>
      </c>
      <c r="N26" s="35" t="n">
        <v>657</v>
      </c>
      <c r="O26" s="35" t="n">
        <v>566</v>
      </c>
      <c r="P26" s="35" t="n">
        <v>283</v>
      </c>
      <c r="Q26" s="36" t="n">
        <f aca="false">INDEX(M26:P26,MATCH(TipoSuelo,{"Roca","Grava","Suelo mixto","Arcilla"},0))</f>
        <v>566</v>
      </c>
      <c r="R26" s="36" t="n">
        <f aca="false">Q26*IF(AND(C26="BOMAG",L26="SÍ"),MultTecBOMAG,1)</f>
        <v>566</v>
      </c>
      <c r="S26" s="36" t="n">
        <f aca="false">R26*Eficiencia</f>
        <v>566</v>
      </c>
      <c r="T26" s="37" t="n">
        <f aca="false">IF(AND(S26&gt;0,VolumenCompactacion&gt;0),VolumenCompactacion/S26,0)</f>
        <v>0</v>
      </c>
      <c r="U26" s="38" t="n">
        <f aca="false">G26*PrecioDiesel+H26+I26</f>
        <v>19.32</v>
      </c>
      <c r="V26" s="39" t="n">
        <f aca="false">T26*U26</f>
        <v>0</v>
      </c>
      <c r="W26" s="39" t="n">
        <f aca="false">G26*HorasOperacion*PrecioDiesel</f>
        <v>48960</v>
      </c>
      <c r="X26" s="39" t="n">
        <f aca="false">HorasOperacion*(H26+I26)</f>
        <v>9000</v>
      </c>
      <c r="Y26" s="37" t="n">
        <f aca="false">IF(AND(B26="SDR",K26="NO"),HorasOperacion/JuntaIntervalo,0)</f>
        <v>60</v>
      </c>
      <c r="Z26" s="39" t="n">
        <f aca="false">Y26*JuntaHorasIntervencion*(JuntaTecnico+JuntaParada)+Y26*JuntaGrasa</f>
        <v>5550</v>
      </c>
      <c r="AA26" s="40" t="n">
        <f aca="false">F26+W26+X26+Z26-J26</f>
        <v>155355.1</v>
      </c>
      <c r="AB26" s="38" t="n">
        <f aca="false">U26+IF(Y26&gt;0,(JuntaHorasIntervencion*(JuntaTecnico+JuntaParada)+JuntaGrasa)/JuntaIntervalo,0)</f>
        <v>21.17</v>
      </c>
      <c r="AC26" s="38" t="n">
        <f aca="false">IF(HorasOperacion&gt;0,AA26/HorasOperacion,0)</f>
        <v>51.7850333333333</v>
      </c>
      <c r="AD26" s="36" t="n">
        <f aca="false">AA26*TasaMoneda</f>
        <v>155355.1</v>
      </c>
      <c r="AE26" s="39" t="n">
        <f aca="false">IFERROR(AA26-INDEX($AA$5:$AA$64,MATCH(1,INDEX((B$5:B$64=B26)*(C$5:C$64="BOMAG"),0),0)),0)</f>
        <v>46282.32</v>
      </c>
    </row>
    <row r="27" customFormat="false" ht="15" hidden="false" customHeight="false" outlineLevel="0" collapsed="false">
      <c r="A27" s="12" t="str">
        <f aca="false">B27&amp;" | "&amp;C27&amp;" | "&amp;D27</f>
        <v>SDR | HAMM | H13i</v>
      </c>
      <c r="B27" s="26" t="s">
        <v>868</v>
      </c>
      <c r="C27" s="30" t="str">
        <f aca="false">'Datos SDR'!$B$24</f>
        <v>HAMM</v>
      </c>
      <c r="D27" s="30" t="str">
        <f aca="false">'Datos SDR'!$C$24</f>
        <v>H13i</v>
      </c>
      <c r="E27" s="31" t="n">
        <f aca="false">'Datos SDR'!$E$24</f>
        <v>12600</v>
      </c>
      <c r="F27" s="32" t="n">
        <f aca="false">'Datos SDR'!$Z$24</f>
        <v>0</v>
      </c>
      <c r="G27" s="33" t="n">
        <f aca="false">'Datos SDR'!$Y$24</f>
        <v>0</v>
      </c>
      <c r="H27" s="34" t="n">
        <f aca="false">'Datos SDR'!$AA$24</f>
        <v>1</v>
      </c>
      <c r="I27" s="34" t="n">
        <f aca="false">'Datos SDR'!$AB$24</f>
        <v>2</v>
      </c>
      <c r="J27" s="28" t="n">
        <v>0</v>
      </c>
      <c r="K27" s="26" t="s">
        <v>588</v>
      </c>
      <c r="L27" s="26" t="s">
        <v>869</v>
      </c>
      <c r="M27" s="35" t="n">
        <v>660</v>
      </c>
      <c r="N27" s="35" t="n">
        <v>490</v>
      </c>
      <c r="O27" s="35" t="n">
        <v>420</v>
      </c>
      <c r="P27" s="35" t="n">
        <v>210</v>
      </c>
      <c r="Q27" s="36" t="n">
        <f aca="false">INDEX(M27:P27,MATCH(TipoSuelo,{"Roca","Grava","Suelo mixto","Arcilla"},0))</f>
        <v>420</v>
      </c>
      <c r="R27" s="36" t="n">
        <f aca="false">Q27*IF(AND(C27="BOMAG",L27="SÍ"),MultTecBOMAG,1)</f>
        <v>420</v>
      </c>
      <c r="S27" s="36" t="n">
        <f aca="false">R27*Eficiencia</f>
        <v>420</v>
      </c>
      <c r="T27" s="37" t="n">
        <f aca="false">IF(AND(S27&gt;0,VolumenCompactacion&gt;0),VolumenCompactacion/S27,0)</f>
        <v>0</v>
      </c>
      <c r="U27" s="38" t="n">
        <f aca="false">G27*PrecioDiesel+H27+I27</f>
        <v>3</v>
      </c>
      <c r="V27" s="39" t="n">
        <f aca="false">T27*U27</f>
        <v>0</v>
      </c>
      <c r="W27" s="39" t="n">
        <f aca="false">G27*HorasOperacion*PrecioDiesel</f>
        <v>0</v>
      </c>
      <c r="X27" s="39" t="n">
        <f aca="false">HorasOperacion*(H27+I27)</f>
        <v>9000</v>
      </c>
      <c r="Y27" s="37" t="n">
        <f aca="false">IF(AND(B27="SDR",K27="NO"),HorasOperacion/JuntaIntervalo,0)</f>
        <v>60</v>
      </c>
      <c r="Z27" s="39" t="n">
        <f aca="false">Y27*JuntaHorasIntervencion*(JuntaTecnico+JuntaParada)+Y27*JuntaGrasa</f>
        <v>5550</v>
      </c>
      <c r="AA27" s="40" t="n">
        <f aca="false">F27+W27+X27+Z27-J27</f>
        <v>14550</v>
      </c>
      <c r="AB27" s="38" t="n">
        <f aca="false">U27+IF(Y27&gt;0,(JuntaHorasIntervencion*(JuntaTecnico+JuntaParada)+JuntaGrasa)/JuntaIntervalo,0)</f>
        <v>4.85</v>
      </c>
      <c r="AC27" s="38" t="n">
        <f aca="false">IF(HorasOperacion&gt;0,AA27/HorasOperacion,0)</f>
        <v>4.85</v>
      </c>
      <c r="AD27" s="36" t="n">
        <f aca="false">AA27*TasaMoneda</f>
        <v>14550</v>
      </c>
      <c r="AE27" s="39" t="n">
        <f aca="false">IFERROR(AA27-INDEX($AA$5:$AA$64,MATCH(1,INDEX((B$5:B$64=B27)*(C$5:C$64="BOMAG"),0),0)),0)</f>
        <v>-94522.78</v>
      </c>
    </row>
    <row r="28" customFormat="false" ht="15" hidden="false" customHeight="false" outlineLevel="0" collapsed="false">
      <c r="A28" s="12" t="str">
        <f aca="false">B28&amp;" | "&amp;C28&amp;" | "&amp;D28</f>
        <v>SDR | HAMM | H16i</v>
      </c>
      <c r="B28" s="26" t="s">
        <v>868</v>
      </c>
      <c r="C28" s="30" t="str">
        <f aca="false">'Datos SDR'!$B$25</f>
        <v>HAMM</v>
      </c>
      <c r="D28" s="30" t="str">
        <f aca="false">'Datos SDR'!$C$25</f>
        <v>H16i</v>
      </c>
      <c r="E28" s="31" t="n">
        <f aca="false">'Datos SDR'!$E$25</f>
        <v>16430</v>
      </c>
      <c r="F28" s="32" t="n">
        <f aca="false">'Datos SDR'!$Z$25</f>
        <v>0</v>
      </c>
      <c r="G28" s="33" t="n">
        <f aca="false">'Datos SDR'!$Y$25</f>
        <v>0</v>
      </c>
      <c r="H28" s="34" t="n">
        <f aca="false">'Datos SDR'!$AA$25</f>
        <v>1</v>
      </c>
      <c r="I28" s="34" t="n">
        <f aca="false">'Datos SDR'!$AB$25</f>
        <v>2</v>
      </c>
      <c r="J28" s="28" t="n">
        <v>0</v>
      </c>
      <c r="K28" s="26" t="s">
        <v>588</v>
      </c>
      <c r="L28" s="26" t="s">
        <v>869</v>
      </c>
      <c r="M28" s="35" t="n">
        <v>1328</v>
      </c>
      <c r="N28" s="35" t="n">
        <v>928</v>
      </c>
      <c r="O28" s="35" t="n">
        <v>757</v>
      </c>
      <c r="P28" s="35" t="n">
        <v>386</v>
      </c>
      <c r="Q28" s="36" t="n">
        <f aca="false">INDEX(M28:P28,MATCH(TipoSuelo,{"Roca","Grava","Suelo mixto","Arcilla"},0))</f>
        <v>757</v>
      </c>
      <c r="R28" s="36" t="n">
        <f aca="false">Q28*IF(AND(C28="BOMAG",L28="SÍ"),MultTecBOMAG,1)</f>
        <v>757</v>
      </c>
      <c r="S28" s="36" t="n">
        <f aca="false">R28*Eficiencia</f>
        <v>757</v>
      </c>
      <c r="T28" s="37" t="n">
        <f aca="false">IF(AND(S28&gt;0,VolumenCompactacion&gt;0),VolumenCompactacion/S28,0)</f>
        <v>0</v>
      </c>
      <c r="U28" s="38" t="n">
        <f aca="false">G28*PrecioDiesel+H28+I28</f>
        <v>3</v>
      </c>
      <c r="V28" s="39" t="n">
        <f aca="false">T28*U28</f>
        <v>0</v>
      </c>
      <c r="W28" s="39" t="n">
        <f aca="false">G28*HorasOperacion*PrecioDiesel</f>
        <v>0</v>
      </c>
      <c r="X28" s="39" t="n">
        <f aca="false">HorasOperacion*(H28+I28)</f>
        <v>9000</v>
      </c>
      <c r="Y28" s="37" t="n">
        <f aca="false">IF(AND(B28="SDR",K28="NO"),HorasOperacion/JuntaIntervalo,0)</f>
        <v>60</v>
      </c>
      <c r="Z28" s="39" t="n">
        <f aca="false">Y28*JuntaHorasIntervencion*(JuntaTecnico+JuntaParada)+Y28*JuntaGrasa</f>
        <v>5550</v>
      </c>
      <c r="AA28" s="40" t="n">
        <f aca="false">F28+W28+X28+Z28-J28</f>
        <v>14550</v>
      </c>
      <c r="AB28" s="38" t="n">
        <f aca="false">U28+IF(Y28&gt;0,(JuntaHorasIntervencion*(JuntaTecnico+JuntaParada)+JuntaGrasa)/JuntaIntervalo,0)</f>
        <v>4.85</v>
      </c>
      <c r="AC28" s="38" t="n">
        <f aca="false">IF(HorasOperacion&gt;0,AA28/HorasOperacion,0)</f>
        <v>4.85</v>
      </c>
      <c r="AD28" s="36" t="n">
        <f aca="false">AA28*TasaMoneda</f>
        <v>14550</v>
      </c>
      <c r="AE28" s="39" t="n">
        <f aca="false">IFERROR(AA28-INDEX($AA$5:$AA$64,MATCH(1,INDEX((B$5:B$64=B28)*(C$5:C$64="BOMAG"),0),0)),0)</f>
        <v>-94522.78</v>
      </c>
    </row>
    <row r="29" customFormat="false" ht="15" hidden="false" customHeight="false" outlineLevel="0" collapsed="false">
      <c r="A29" s="12" t="str">
        <f aca="false">B29&amp;" | "&amp;C29&amp;" | "&amp;D29</f>
        <v>SDR | HAMM | H18i</v>
      </c>
      <c r="B29" s="26" t="s">
        <v>868</v>
      </c>
      <c r="C29" s="30" t="str">
        <f aca="false">'Datos SDR'!$B$26</f>
        <v>HAMM</v>
      </c>
      <c r="D29" s="30" t="str">
        <f aca="false">'Datos SDR'!$C$26</f>
        <v>H18i</v>
      </c>
      <c r="E29" s="31" t="n">
        <f aca="false">'Datos SDR'!$E$26</f>
        <v>18000</v>
      </c>
      <c r="F29" s="32" t="n">
        <f aca="false">'Datos SDR'!$Z$26</f>
        <v>0</v>
      </c>
      <c r="G29" s="33" t="n">
        <f aca="false">'Datos SDR'!$Y$26</f>
        <v>0</v>
      </c>
      <c r="H29" s="34" t="n">
        <f aca="false">'Datos SDR'!$AA$26</f>
        <v>1</v>
      </c>
      <c r="I29" s="34" t="n">
        <f aca="false">'Datos SDR'!$AB$26</f>
        <v>2</v>
      </c>
      <c r="J29" s="28" t="n">
        <v>0</v>
      </c>
      <c r="K29" s="26" t="s">
        <v>588</v>
      </c>
      <c r="L29" s="26" t="s">
        <v>869</v>
      </c>
      <c r="M29" s="35" t="n">
        <v>1067</v>
      </c>
      <c r="N29" s="35" t="n">
        <v>667</v>
      </c>
      <c r="O29" s="35" t="n">
        <v>600</v>
      </c>
      <c r="P29" s="35" t="n">
        <v>333</v>
      </c>
      <c r="Q29" s="36" t="n">
        <f aca="false">INDEX(M29:P29,MATCH(TipoSuelo,{"Roca","Grava","Suelo mixto","Arcilla"},0))</f>
        <v>600</v>
      </c>
      <c r="R29" s="36" t="n">
        <f aca="false">Q29*IF(AND(C29="BOMAG",L29="SÍ"),MultTecBOMAG,1)</f>
        <v>600</v>
      </c>
      <c r="S29" s="36" t="n">
        <f aca="false">R29*Eficiencia</f>
        <v>600</v>
      </c>
      <c r="T29" s="37" t="n">
        <f aca="false">IF(AND(S29&gt;0,VolumenCompactacion&gt;0),VolumenCompactacion/S29,0)</f>
        <v>0</v>
      </c>
      <c r="U29" s="38" t="n">
        <f aca="false">G29*PrecioDiesel+H29+I29</f>
        <v>3</v>
      </c>
      <c r="V29" s="39" t="n">
        <f aca="false">T29*U29</f>
        <v>0</v>
      </c>
      <c r="W29" s="39" t="n">
        <f aca="false">G29*HorasOperacion*PrecioDiesel</f>
        <v>0</v>
      </c>
      <c r="X29" s="39" t="n">
        <f aca="false">HorasOperacion*(H29+I29)</f>
        <v>9000</v>
      </c>
      <c r="Y29" s="37" t="n">
        <f aca="false">IF(AND(B29="SDR",K29="NO"),HorasOperacion/JuntaIntervalo,0)</f>
        <v>60</v>
      </c>
      <c r="Z29" s="39" t="n">
        <f aca="false">Y29*JuntaHorasIntervencion*(JuntaTecnico+JuntaParada)+Y29*JuntaGrasa</f>
        <v>5550</v>
      </c>
      <c r="AA29" s="40" t="n">
        <f aca="false">F29+W29+X29+Z29-J29</f>
        <v>14550</v>
      </c>
      <c r="AB29" s="38" t="n">
        <f aca="false">U29+IF(Y29&gt;0,(JuntaHorasIntervencion*(JuntaTecnico+JuntaParada)+JuntaGrasa)/JuntaIntervalo,0)</f>
        <v>4.85</v>
      </c>
      <c r="AC29" s="38" t="n">
        <f aca="false">IF(HorasOperacion&gt;0,AA29/HorasOperacion,0)</f>
        <v>4.85</v>
      </c>
      <c r="AD29" s="36" t="n">
        <f aca="false">AA29*TasaMoneda</f>
        <v>14550</v>
      </c>
      <c r="AE29" s="39" t="n">
        <f aca="false">IFERROR(AA29-INDEX($AA$5:$AA$64,MATCH(1,INDEX((B$5:B$64=B29)*(C$5:C$64="BOMAG"),0),0)),0)</f>
        <v>-94522.78</v>
      </c>
    </row>
    <row r="30" customFormat="false" ht="15" hidden="false" customHeight="false" outlineLevel="0" collapsed="false">
      <c r="A30" s="12" t="str">
        <f aca="false">B30&amp;" | "&amp;C30&amp;" | "&amp;D30</f>
        <v>SDR | HAMM | H25i</v>
      </c>
      <c r="B30" s="26" t="s">
        <v>868</v>
      </c>
      <c r="C30" s="30" t="str">
        <f aca="false">'Datos SDR'!$B$27</f>
        <v>HAMM</v>
      </c>
      <c r="D30" s="30" t="str">
        <f aca="false">'Datos SDR'!$C$27</f>
        <v>H25i</v>
      </c>
      <c r="E30" s="31" t="n">
        <f aca="false">'Datos SDR'!$E$27</f>
        <v>24925</v>
      </c>
      <c r="F30" s="32" t="n">
        <f aca="false">'Datos SDR'!$Z$27</f>
        <v>0</v>
      </c>
      <c r="G30" s="33" t="n">
        <f aca="false">'Datos SDR'!$Y$27</f>
        <v>0</v>
      </c>
      <c r="H30" s="34" t="n">
        <f aca="false">'Datos SDR'!$AA$27</f>
        <v>1</v>
      </c>
      <c r="I30" s="34" t="n">
        <f aca="false">'Datos SDR'!$AB$27</f>
        <v>2</v>
      </c>
      <c r="J30" s="28" t="n">
        <v>0</v>
      </c>
      <c r="K30" s="26" t="s">
        <v>588</v>
      </c>
      <c r="L30" s="26" t="s">
        <v>869</v>
      </c>
      <c r="M30" s="35" t="n">
        <v>2184</v>
      </c>
      <c r="N30" s="35" t="n">
        <v>1586</v>
      </c>
      <c r="O30" s="35" t="n">
        <v>1191</v>
      </c>
      <c r="P30" s="35" t="n">
        <v>498</v>
      </c>
      <c r="Q30" s="36" t="n">
        <f aca="false">INDEX(M30:P30,MATCH(TipoSuelo,{"Roca","Grava","Suelo mixto","Arcilla"},0))</f>
        <v>1191</v>
      </c>
      <c r="R30" s="36" t="n">
        <f aca="false">Q30*IF(AND(C30="BOMAG",L30="SÍ"),MultTecBOMAG,1)</f>
        <v>1191</v>
      </c>
      <c r="S30" s="36" t="n">
        <f aca="false">R30*Eficiencia</f>
        <v>1191</v>
      </c>
      <c r="T30" s="37" t="n">
        <f aca="false">IF(AND(S30&gt;0,VolumenCompactacion&gt;0),VolumenCompactacion/S30,0)</f>
        <v>0</v>
      </c>
      <c r="U30" s="38" t="n">
        <f aca="false">G30*PrecioDiesel+H30+I30</f>
        <v>3</v>
      </c>
      <c r="V30" s="39" t="n">
        <f aca="false">T30*U30</f>
        <v>0</v>
      </c>
      <c r="W30" s="39" t="n">
        <f aca="false">G30*HorasOperacion*PrecioDiesel</f>
        <v>0</v>
      </c>
      <c r="X30" s="39" t="n">
        <f aca="false">HorasOperacion*(H30+I30)</f>
        <v>9000</v>
      </c>
      <c r="Y30" s="37" t="n">
        <f aca="false">IF(AND(B30="SDR",K30="NO"),HorasOperacion/JuntaIntervalo,0)</f>
        <v>60</v>
      </c>
      <c r="Z30" s="39" t="n">
        <f aca="false">Y30*JuntaHorasIntervencion*(JuntaTecnico+JuntaParada)+Y30*JuntaGrasa</f>
        <v>5550</v>
      </c>
      <c r="AA30" s="40" t="n">
        <f aca="false">F30+W30+X30+Z30-J30</f>
        <v>14550</v>
      </c>
      <c r="AB30" s="38" t="n">
        <f aca="false">U30+IF(Y30&gt;0,(JuntaHorasIntervencion*(JuntaTecnico+JuntaParada)+JuntaGrasa)/JuntaIntervalo,0)</f>
        <v>4.85</v>
      </c>
      <c r="AC30" s="38" t="n">
        <f aca="false">IF(HorasOperacion&gt;0,AA30/HorasOperacion,0)</f>
        <v>4.85</v>
      </c>
      <c r="AD30" s="36" t="n">
        <f aca="false">AA30*TasaMoneda</f>
        <v>14550</v>
      </c>
      <c r="AE30" s="39" t="n">
        <f aca="false">IFERROR(AA30-INDEX($AA$5:$AA$64,MATCH(1,INDEX((B$5:B$64=B30)*(C$5:C$64="BOMAG"),0),0)),0)</f>
        <v>-94522.78</v>
      </c>
    </row>
    <row r="31" customFormat="false" ht="15" hidden="false" customHeight="false" outlineLevel="0" collapsed="false">
      <c r="A31" s="12" t="str">
        <f aca="false">B31&amp;" | "&amp;C31&amp;" | "&amp;D31</f>
        <v>SDR | CATERPILLAR | CS10GC</v>
      </c>
      <c r="B31" s="26" t="s">
        <v>868</v>
      </c>
      <c r="C31" s="30" t="str">
        <f aca="false">'Datos SDR'!$B$28</f>
        <v>CATERPILLAR</v>
      </c>
      <c r="D31" s="30" t="str">
        <f aca="false">'Datos SDR'!$C$28</f>
        <v>CS10GC</v>
      </c>
      <c r="E31" s="31" t="n">
        <f aca="false">'Datos SDR'!$E$28</f>
        <v>10492</v>
      </c>
      <c r="F31" s="32" t="n">
        <f aca="false">'Datos SDR'!$Z$28</f>
        <v>105298.85</v>
      </c>
      <c r="G31" s="33" t="n">
        <f aca="false">'Datos SDR'!$Y$28</f>
        <v>14.5</v>
      </c>
      <c r="H31" s="34" t="n">
        <f aca="false">'Datos SDR'!$AA$28</f>
        <v>1</v>
      </c>
      <c r="I31" s="34" t="n">
        <f aca="false">'Datos SDR'!$AB$28</f>
        <v>2</v>
      </c>
      <c r="J31" s="28" t="n">
        <v>0</v>
      </c>
      <c r="K31" s="26" t="s">
        <v>588</v>
      </c>
      <c r="L31" s="26" t="s">
        <v>869</v>
      </c>
      <c r="M31" s="35" t="n">
        <v>649</v>
      </c>
      <c r="N31" s="35" t="n">
        <v>449</v>
      </c>
      <c r="O31" s="35" t="n">
        <v>399</v>
      </c>
      <c r="P31" s="35" t="n">
        <v>199</v>
      </c>
      <c r="Q31" s="36" t="n">
        <f aca="false">INDEX(M31:P31,MATCH(TipoSuelo,{"Roca","Grava","Suelo mixto","Arcilla"},0))</f>
        <v>399</v>
      </c>
      <c r="R31" s="36" t="n">
        <f aca="false">Q31*IF(AND(C31="BOMAG",L31="SÍ"),MultTecBOMAG,1)</f>
        <v>399</v>
      </c>
      <c r="S31" s="36" t="n">
        <f aca="false">R31*Eficiencia</f>
        <v>399</v>
      </c>
      <c r="T31" s="37" t="n">
        <f aca="false">IF(AND(S31&gt;0,VolumenCompactacion&gt;0),VolumenCompactacion/S31,0)</f>
        <v>0</v>
      </c>
      <c r="U31" s="38" t="n">
        <f aca="false">G31*PrecioDiesel+H31+I31</f>
        <v>20.4</v>
      </c>
      <c r="V31" s="39" t="n">
        <f aca="false">T31*U31</f>
        <v>0</v>
      </c>
      <c r="W31" s="39" t="n">
        <f aca="false">G31*HorasOperacion*PrecioDiesel</f>
        <v>52200</v>
      </c>
      <c r="X31" s="39" t="n">
        <f aca="false">HorasOperacion*(H31+I31)</f>
        <v>9000</v>
      </c>
      <c r="Y31" s="37" t="n">
        <f aca="false">IF(AND(B31="SDR",K31="NO"),HorasOperacion/JuntaIntervalo,0)</f>
        <v>60</v>
      </c>
      <c r="Z31" s="39" t="n">
        <f aca="false">Y31*JuntaHorasIntervencion*(JuntaTecnico+JuntaParada)+Y31*JuntaGrasa</f>
        <v>5550</v>
      </c>
      <c r="AA31" s="40" t="n">
        <f aca="false">F31+W31+X31+Z31-J31</f>
        <v>172048.85</v>
      </c>
      <c r="AB31" s="38" t="n">
        <f aca="false">U31+IF(Y31&gt;0,(JuntaHorasIntervencion*(JuntaTecnico+JuntaParada)+JuntaGrasa)/JuntaIntervalo,0)</f>
        <v>22.25</v>
      </c>
      <c r="AC31" s="38" t="n">
        <f aca="false">IF(HorasOperacion&gt;0,AA31/HorasOperacion,0)</f>
        <v>57.3496166666667</v>
      </c>
      <c r="AD31" s="36" t="n">
        <f aca="false">AA31*TasaMoneda</f>
        <v>172048.85</v>
      </c>
      <c r="AE31" s="39" t="n">
        <f aca="false">IFERROR(AA31-INDEX($AA$5:$AA$64,MATCH(1,INDEX((B$5:B$64=B31)*(C$5:C$64="BOMAG"),0),0)),0)</f>
        <v>62976.07</v>
      </c>
    </row>
    <row r="32" customFormat="false" ht="15" hidden="false" customHeight="false" outlineLevel="0" collapsed="false">
      <c r="A32" s="12" t="str">
        <f aca="false">B32&amp;" | "&amp;C32&amp;" | "&amp;D32</f>
        <v>SDR | CATERPILLAR | CS11GC</v>
      </c>
      <c r="B32" s="26" t="s">
        <v>868</v>
      </c>
      <c r="C32" s="30" t="str">
        <f aca="false">'Datos SDR'!$B$29</f>
        <v>CATERPILLAR</v>
      </c>
      <c r="D32" s="30" t="str">
        <f aca="false">'Datos SDR'!$C$29</f>
        <v>CS11GC</v>
      </c>
      <c r="E32" s="31" t="n">
        <f aca="false">'Datos SDR'!$E$29</f>
        <v>10900</v>
      </c>
      <c r="F32" s="32" t="n">
        <f aca="false">'Datos SDR'!$Z$29</f>
        <v>105298.85</v>
      </c>
      <c r="G32" s="33" t="n">
        <f aca="false">'Datos SDR'!$Y$29</f>
        <v>14.5</v>
      </c>
      <c r="H32" s="34" t="n">
        <f aca="false">'Datos SDR'!$AA$29</f>
        <v>1</v>
      </c>
      <c r="I32" s="34" t="n">
        <f aca="false">'Datos SDR'!$AB$29</f>
        <v>2</v>
      </c>
      <c r="J32" s="28" t="n">
        <v>0</v>
      </c>
      <c r="K32" s="26" t="s">
        <v>588</v>
      </c>
      <c r="L32" s="26" t="s">
        <v>869</v>
      </c>
      <c r="M32" s="35" t="n">
        <v>717</v>
      </c>
      <c r="N32" s="35" t="n">
        <v>517</v>
      </c>
      <c r="O32" s="35" t="n">
        <v>453</v>
      </c>
      <c r="P32" s="35" t="n">
        <v>227</v>
      </c>
      <c r="Q32" s="36" t="n">
        <f aca="false">INDEX(M32:P32,MATCH(TipoSuelo,{"Roca","Grava","Suelo mixto","Arcilla"},0))</f>
        <v>453</v>
      </c>
      <c r="R32" s="36" t="n">
        <f aca="false">Q32*IF(AND(C32="BOMAG",L32="SÍ"),MultTecBOMAG,1)</f>
        <v>453</v>
      </c>
      <c r="S32" s="36" t="n">
        <f aca="false">R32*Eficiencia</f>
        <v>453</v>
      </c>
      <c r="T32" s="37" t="n">
        <f aca="false">IF(AND(S32&gt;0,VolumenCompactacion&gt;0),VolumenCompactacion/S32,0)</f>
        <v>0</v>
      </c>
      <c r="U32" s="38" t="n">
        <f aca="false">G32*PrecioDiesel+H32+I32</f>
        <v>20.4</v>
      </c>
      <c r="V32" s="39" t="n">
        <f aca="false">T32*U32</f>
        <v>0</v>
      </c>
      <c r="W32" s="39" t="n">
        <f aca="false">G32*HorasOperacion*PrecioDiesel</f>
        <v>52200</v>
      </c>
      <c r="X32" s="39" t="n">
        <f aca="false">HorasOperacion*(H32+I32)</f>
        <v>9000</v>
      </c>
      <c r="Y32" s="37" t="n">
        <f aca="false">IF(AND(B32="SDR",K32="NO"),HorasOperacion/JuntaIntervalo,0)</f>
        <v>60</v>
      </c>
      <c r="Z32" s="39" t="n">
        <f aca="false">Y32*JuntaHorasIntervencion*(JuntaTecnico+JuntaParada)+Y32*JuntaGrasa</f>
        <v>5550</v>
      </c>
      <c r="AA32" s="40" t="n">
        <f aca="false">F32+W32+X32+Z32-J32</f>
        <v>172048.85</v>
      </c>
      <c r="AB32" s="38" t="n">
        <f aca="false">U32+IF(Y32&gt;0,(JuntaHorasIntervencion*(JuntaTecnico+JuntaParada)+JuntaGrasa)/JuntaIntervalo,0)</f>
        <v>22.25</v>
      </c>
      <c r="AC32" s="38" t="n">
        <f aca="false">IF(HorasOperacion&gt;0,AA32/HorasOperacion,0)</f>
        <v>57.3496166666667</v>
      </c>
      <c r="AD32" s="36" t="n">
        <f aca="false">AA32*TasaMoneda</f>
        <v>172048.85</v>
      </c>
      <c r="AE32" s="39" t="n">
        <f aca="false">IFERROR(AA32-INDEX($AA$5:$AA$64,MATCH(1,INDEX((B$5:B$64=B32)*(C$5:C$64="BOMAG"),0),0)),0)</f>
        <v>62976.07</v>
      </c>
    </row>
    <row r="33" customFormat="false" ht="15" hidden="false" customHeight="false" outlineLevel="0" collapsed="false">
      <c r="A33" s="12" t="str">
        <f aca="false">B33&amp;" | "&amp;C33&amp;" | "&amp;D33</f>
        <v>SDR | CATERPILLAR | CS12</v>
      </c>
      <c r="B33" s="26" t="s">
        <v>868</v>
      </c>
      <c r="C33" s="30" t="str">
        <f aca="false">'Datos SDR'!$B$30</f>
        <v>CATERPILLAR</v>
      </c>
      <c r="D33" s="30" t="str">
        <f aca="false">'Datos SDR'!$C$30</f>
        <v>CS12</v>
      </c>
      <c r="E33" s="31" t="n">
        <f aca="false">'Datos SDR'!$E$30</f>
        <v>11743</v>
      </c>
      <c r="F33" s="32" t="n">
        <f aca="false">'Datos SDR'!$Z$30</f>
        <v>105298.85</v>
      </c>
      <c r="G33" s="33" t="n">
        <f aca="false">'Datos SDR'!$Y$30</f>
        <v>14.5</v>
      </c>
      <c r="H33" s="34" t="n">
        <f aca="false">'Datos SDR'!$AA$30</f>
        <v>1</v>
      </c>
      <c r="I33" s="34" t="n">
        <f aca="false">'Datos SDR'!$AB$30</f>
        <v>2</v>
      </c>
      <c r="J33" s="28" t="n">
        <v>0</v>
      </c>
      <c r="K33" s="26" t="s">
        <v>588</v>
      </c>
      <c r="L33" s="26" t="s">
        <v>869</v>
      </c>
      <c r="M33" s="35" t="n">
        <v>857</v>
      </c>
      <c r="N33" s="35" t="n">
        <v>657</v>
      </c>
      <c r="O33" s="35" t="n">
        <v>566</v>
      </c>
      <c r="P33" s="35" t="n">
        <v>283</v>
      </c>
      <c r="Q33" s="36" t="n">
        <f aca="false">INDEX(M33:P33,MATCH(TipoSuelo,{"Roca","Grava","Suelo mixto","Arcilla"},0))</f>
        <v>566</v>
      </c>
      <c r="R33" s="36" t="n">
        <f aca="false">Q33*IF(AND(C33="BOMAG",L33="SÍ"),MultTecBOMAG,1)</f>
        <v>566</v>
      </c>
      <c r="S33" s="36" t="n">
        <f aca="false">R33*Eficiencia</f>
        <v>566</v>
      </c>
      <c r="T33" s="37" t="n">
        <f aca="false">IF(AND(S33&gt;0,VolumenCompactacion&gt;0),VolumenCompactacion/S33,0)</f>
        <v>0</v>
      </c>
      <c r="U33" s="38" t="n">
        <f aca="false">G33*PrecioDiesel+H33+I33</f>
        <v>20.4</v>
      </c>
      <c r="V33" s="39" t="n">
        <f aca="false">T33*U33</f>
        <v>0</v>
      </c>
      <c r="W33" s="39" t="n">
        <f aca="false">G33*HorasOperacion*PrecioDiesel</f>
        <v>52200</v>
      </c>
      <c r="X33" s="39" t="n">
        <f aca="false">HorasOperacion*(H33+I33)</f>
        <v>9000</v>
      </c>
      <c r="Y33" s="37" t="n">
        <f aca="false">IF(AND(B33="SDR",K33="NO"),HorasOperacion/JuntaIntervalo,0)</f>
        <v>60</v>
      </c>
      <c r="Z33" s="39" t="n">
        <f aca="false">Y33*JuntaHorasIntervencion*(JuntaTecnico+JuntaParada)+Y33*JuntaGrasa</f>
        <v>5550</v>
      </c>
      <c r="AA33" s="40" t="n">
        <f aca="false">F33+W33+X33+Z33-J33</f>
        <v>172048.85</v>
      </c>
      <c r="AB33" s="38" t="n">
        <f aca="false">U33+IF(Y33&gt;0,(JuntaHorasIntervencion*(JuntaTecnico+JuntaParada)+JuntaGrasa)/JuntaIntervalo,0)</f>
        <v>22.25</v>
      </c>
      <c r="AC33" s="38" t="n">
        <f aca="false">IF(HorasOperacion&gt;0,AA33/HorasOperacion,0)</f>
        <v>57.3496166666667</v>
      </c>
      <c r="AD33" s="36" t="n">
        <f aca="false">AA33*TasaMoneda</f>
        <v>172048.85</v>
      </c>
      <c r="AE33" s="39" t="n">
        <f aca="false">IFERROR(AA33-INDEX($AA$5:$AA$64,MATCH(1,INDEX((B$5:B$64=B33)*(C$5:C$64="BOMAG"),0),0)),0)</f>
        <v>62976.07</v>
      </c>
    </row>
    <row r="34" customFormat="false" ht="15" hidden="false" customHeight="false" outlineLevel="0" collapsed="false">
      <c r="A34" s="12" t="str">
        <f aca="false">B34&amp;" | "&amp;C34&amp;" | "&amp;D34</f>
        <v>SDR | CATERPILLAR | CS13GC</v>
      </c>
      <c r="B34" s="26" t="s">
        <v>868</v>
      </c>
      <c r="C34" s="30" t="str">
        <f aca="false">'Datos SDR'!$B$31</f>
        <v>CATERPILLAR</v>
      </c>
      <c r="D34" s="30" t="str">
        <f aca="false">'Datos SDR'!$C$31</f>
        <v>CS13GC</v>
      </c>
      <c r="E34" s="31" t="n">
        <f aca="false">'Datos SDR'!$E$31</f>
        <v>12700</v>
      </c>
      <c r="F34" s="32" t="n">
        <f aca="false">'Datos SDR'!$Z$31</f>
        <v>0</v>
      </c>
      <c r="G34" s="33" t="n">
        <f aca="false">'Datos SDR'!$Y$31</f>
        <v>0</v>
      </c>
      <c r="H34" s="34" t="n">
        <f aca="false">'Datos SDR'!$AA$31</f>
        <v>1</v>
      </c>
      <c r="I34" s="34" t="n">
        <f aca="false">'Datos SDR'!$AB$31</f>
        <v>2</v>
      </c>
      <c r="J34" s="28" t="n">
        <v>0</v>
      </c>
      <c r="K34" s="26" t="s">
        <v>588</v>
      </c>
      <c r="L34" s="26" t="s">
        <v>869</v>
      </c>
      <c r="M34" s="35" t="n">
        <v>620</v>
      </c>
      <c r="N34" s="35" t="n">
        <v>455</v>
      </c>
      <c r="O34" s="35" t="n">
        <v>390</v>
      </c>
      <c r="P34" s="35" t="n">
        <v>195</v>
      </c>
      <c r="Q34" s="36" t="n">
        <f aca="false">INDEX(M34:P34,MATCH(TipoSuelo,{"Roca","Grava","Suelo mixto","Arcilla"},0))</f>
        <v>390</v>
      </c>
      <c r="R34" s="36" t="n">
        <f aca="false">Q34*IF(AND(C34="BOMAG",L34="SÍ"),MultTecBOMAG,1)</f>
        <v>390</v>
      </c>
      <c r="S34" s="36" t="n">
        <f aca="false">R34*Eficiencia</f>
        <v>390</v>
      </c>
      <c r="T34" s="37" t="n">
        <f aca="false">IF(AND(S34&gt;0,VolumenCompactacion&gt;0),VolumenCompactacion/S34,0)</f>
        <v>0</v>
      </c>
      <c r="U34" s="38" t="n">
        <f aca="false">G34*PrecioDiesel+H34+I34</f>
        <v>3</v>
      </c>
      <c r="V34" s="39" t="n">
        <f aca="false">T34*U34</f>
        <v>0</v>
      </c>
      <c r="W34" s="39" t="n">
        <f aca="false">G34*HorasOperacion*PrecioDiesel</f>
        <v>0</v>
      </c>
      <c r="X34" s="39" t="n">
        <f aca="false">HorasOperacion*(H34+I34)</f>
        <v>9000</v>
      </c>
      <c r="Y34" s="37" t="n">
        <f aca="false">IF(AND(B34="SDR",K34="NO"),HorasOperacion/JuntaIntervalo,0)</f>
        <v>60</v>
      </c>
      <c r="Z34" s="39" t="n">
        <f aca="false">Y34*JuntaHorasIntervencion*(JuntaTecnico+JuntaParada)+Y34*JuntaGrasa</f>
        <v>5550</v>
      </c>
      <c r="AA34" s="40" t="n">
        <f aca="false">F34+W34+X34+Z34-J34</f>
        <v>14550</v>
      </c>
      <c r="AB34" s="38" t="n">
        <f aca="false">U34+IF(Y34&gt;0,(JuntaHorasIntervencion*(JuntaTecnico+JuntaParada)+JuntaGrasa)/JuntaIntervalo,0)</f>
        <v>4.85</v>
      </c>
      <c r="AC34" s="38" t="n">
        <f aca="false">IF(HorasOperacion&gt;0,AA34/HorasOperacion,0)</f>
        <v>4.85</v>
      </c>
      <c r="AD34" s="36" t="n">
        <f aca="false">AA34*TasaMoneda</f>
        <v>14550</v>
      </c>
      <c r="AE34" s="39" t="n">
        <f aca="false">IFERROR(AA34-INDEX($AA$5:$AA$64,MATCH(1,INDEX((B$5:B$64=B34)*(C$5:C$64="BOMAG"),0),0)),0)</f>
        <v>-94522.78</v>
      </c>
    </row>
    <row r="35" customFormat="false" ht="15" hidden="false" customHeight="false" outlineLevel="0" collapsed="false">
      <c r="A35" s="12" t="str">
        <f aca="false">B35&amp;" | "&amp;C35&amp;" | "&amp;D35</f>
        <v>SDR | XCMG | XS113E</v>
      </c>
      <c r="B35" s="26" t="s">
        <v>868</v>
      </c>
      <c r="C35" s="30" t="str">
        <f aca="false">'Datos SDR'!$B$32</f>
        <v>XCMG</v>
      </c>
      <c r="D35" s="30" t="str">
        <f aca="false">'Datos SDR'!$C$32</f>
        <v>XS113E</v>
      </c>
      <c r="E35" s="31" t="n">
        <f aca="false">'Datos SDR'!$E$32</f>
        <v>10400</v>
      </c>
      <c r="F35" s="32" t="n">
        <f aca="false">'Datos SDR'!$Z$32</f>
        <v>54786</v>
      </c>
      <c r="G35" s="33" t="n">
        <f aca="false">'Datos SDR'!$Y$32</f>
        <v>13.6</v>
      </c>
      <c r="H35" s="34" t="n">
        <f aca="false">'Datos SDR'!$AA$32</f>
        <v>1</v>
      </c>
      <c r="I35" s="34" t="n">
        <f aca="false">'Datos SDR'!$AB$32</f>
        <v>2</v>
      </c>
      <c r="J35" s="28" t="n">
        <v>0</v>
      </c>
      <c r="K35" s="26" t="s">
        <v>588</v>
      </c>
      <c r="L35" s="26" t="s">
        <v>869</v>
      </c>
      <c r="M35" s="35" t="n">
        <v>633</v>
      </c>
      <c r="N35" s="35" t="n">
        <v>433</v>
      </c>
      <c r="O35" s="35" t="n">
        <v>387</v>
      </c>
      <c r="P35" s="35" t="n">
        <v>193</v>
      </c>
      <c r="Q35" s="36" t="n">
        <f aca="false">INDEX(M35:P35,MATCH(TipoSuelo,{"Roca","Grava","Suelo mixto","Arcilla"},0))</f>
        <v>387</v>
      </c>
      <c r="R35" s="36" t="n">
        <f aca="false">Q35*IF(AND(C35="BOMAG",L35="SÍ"),MultTecBOMAG,1)</f>
        <v>387</v>
      </c>
      <c r="S35" s="36" t="n">
        <f aca="false">R35*Eficiencia</f>
        <v>387</v>
      </c>
      <c r="T35" s="37" t="n">
        <f aca="false">IF(AND(S35&gt;0,VolumenCompactacion&gt;0),VolumenCompactacion/S35,0)</f>
        <v>0</v>
      </c>
      <c r="U35" s="38" t="n">
        <f aca="false">G35*PrecioDiesel+H35+I35</f>
        <v>19.32</v>
      </c>
      <c r="V35" s="39" t="n">
        <f aca="false">T35*U35</f>
        <v>0</v>
      </c>
      <c r="W35" s="39" t="n">
        <f aca="false">G35*HorasOperacion*PrecioDiesel</f>
        <v>48960</v>
      </c>
      <c r="X35" s="39" t="n">
        <f aca="false">HorasOperacion*(H35+I35)</f>
        <v>9000</v>
      </c>
      <c r="Y35" s="37" t="n">
        <f aca="false">IF(AND(B35="SDR",K35="NO"),HorasOperacion/JuntaIntervalo,0)</f>
        <v>60</v>
      </c>
      <c r="Z35" s="39" t="n">
        <f aca="false">Y35*JuntaHorasIntervencion*(JuntaTecnico+JuntaParada)+Y35*JuntaGrasa</f>
        <v>5550</v>
      </c>
      <c r="AA35" s="40" t="n">
        <f aca="false">F35+W35+X35+Z35-J35</f>
        <v>118296</v>
      </c>
      <c r="AB35" s="38" t="n">
        <f aca="false">U35+IF(Y35&gt;0,(JuntaHorasIntervencion*(JuntaTecnico+JuntaParada)+JuntaGrasa)/JuntaIntervalo,0)</f>
        <v>21.17</v>
      </c>
      <c r="AC35" s="38" t="n">
        <f aca="false">IF(HorasOperacion&gt;0,AA35/HorasOperacion,0)</f>
        <v>39.432</v>
      </c>
      <c r="AD35" s="36" t="n">
        <f aca="false">AA35*TasaMoneda</f>
        <v>118296</v>
      </c>
      <c r="AE35" s="39" t="n">
        <f aca="false">IFERROR(AA35-INDEX($AA$5:$AA$64,MATCH(1,INDEX((B$5:B$64=B35)*(C$5:C$64="BOMAG"),0),0)),0)</f>
        <v>9223.22</v>
      </c>
    </row>
    <row r="36" customFormat="false" ht="15" hidden="false" customHeight="false" outlineLevel="0" collapsed="false">
      <c r="A36" s="12" t="str">
        <f aca="false">B36&amp;" | "&amp;C36&amp;" | "&amp;D36</f>
        <v>SDR | XCMG | XS123</v>
      </c>
      <c r="B36" s="26" t="s">
        <v>868</v>
      </c>
      <c r="C36" s="30" t="str">
        <f aca="false">'Datos SDR'!$B$33</f>
        <v>XCMG</v>
      </c>
      <c r="D36" s="30" t="str">
        <f aca="false">'Datos SDR'!$C$33</f>
        <v>XS123</v>
      </c>
      <c r="E36" s="31" t="n">
        <f aca="false">'Datos SDR'!$E$33</f>
        <v>12000</v>
      </c>
      <c r="F36" s="32" t="n">
        <f aca="false">'Datos SDR'!$Z$33</f>
        <v>54786</v>
      </c>
      <c r="G36" s="33" t="n">
        <f aca="false">'Datos SDR'!$Y$33</f>
        <v>13.6</v>
      </c>
      <c r="H36" s="34" t="n">
        <f aca="false">'Datos SDR'!$AA$33</f>
        <v>1</v>
      </c>
      <c r="I36" s="34" t="n">
        <f aca="false">'Datos SDR'!$AB$33</f>
        <v>2</v>
      </c>
      <c r="J36" s="28" t="n">
        <v>0</v>
      </c>
      <c r="K36" s="26" t="s">
        <v>588</v>
      </c>
      <c r="L36" s="26" t="s">
        <v>869</v>
      </c>
      <c r="M36" s="35" t="n">
        <v>900</v>
      </c>
      <c r="N36" s="35" t="n">
        <v>700</v>
      </c>
      <c r="O36" s="35" t="n">
        <v>600</v>
      </c>
      <c r="P36" s="35" t="n">
        <v>300</v>
      </c>
      <c r="Q36" s="36" t="n">
        <f aca="false">INDEX(M36:P36,MATCH(TipoSuelo,{"Roca","Grava","Suelo mixto","Arcilla"},0))</f>
        <v>600</v>
      </c>
      <c r="R36" s="36" t="n">
        <f aca="false">Q36*IF(AND(C36="BOMAG",L36="SÍ"),MultTecBOMAG,1)</f>
        <v>600</v>
      </c>
      <c r="S36" s="36" t="n">
        <f aca="false">R36*Eficiencia</f>
        <v>600</v>
      </c>
      <c r="T36" s="37" t="n">
        <f aca="false">IF(AND(S36&gt;0,VolumenCompactacion&gt;0),VolumenCompactacion/S36,0)</f>
        <v>0</v>
      </c>
      <c r="U36" s="38" t="n">
        <f aca="false">G36*PrecioDiesel+H36+I36</f>
        <v>19.32</v>
      </c>
      <c r="V36" s="39" t="n">
        <f aca="false">T36*U36</f>
        <v>0</v>
      </c>
      <c r="W36" s="39" t="n">
        <f aca="false">G36*HorasOperacion*PrecioDiesel</f>
        <v>48960</v>
      </c>
      <c r="X36" s="39" t="n">
        <f aca="false">HorasOperacion*(H36+I36)</f>
        <v>9000</v>
      </c>
      <c r="Y36" s="37" t="n">
        <f aca="false">IF(AND(B36="SDR",K36="NO"),HorasOperacion/JuntaIntervalo,0)</f>
        <v>60</v>
      </c>
      <c r="Z36" s="39" t="n">
        <f aca="false">Y36*JuntaHorasIntervencion*(JuntaTecnico+JuntaParada)+Y36*JuntaGrasa</f>
        <v>5550</v>
      </c>
      <c r="AA36" s="40" t="n">
        <f aca="false">F36+W36+X36+Z36-J36</f>
        <v>118296</v>
      </c>
      <c r="AB36" s="38" t="n">
        <f aca="false">U36+IF(Y36&gt;0,(JuntaHorasIntervencion*(JuntaTecnico+JuntaParada)+JuntaGrasa)/JuntaIntervalo,0)</f>
        <v>21.17</v>
      </c>
      <c r="AC36" s="38" t="n">
        <f aca="false">IF(HorasOperacion&gt;0,AA36/HorasOperacion,0)</f>
        <v>39.432</v>
      </c>
      <c r="AD36" s="36" t="n">
        <f aca="false">AA36*TasaMoneda</f>
        <v>118296</v>
      </c>
      <c r="AE36" s="39" t="n">
        <f aca="false">IFERROR(AA36-INDEX($AA$5:$AA$64,MATCH(1,INDEX((B$5:B$64=B36)*(C$5:C$64="BOMAG"),0),0)),0)</f>
        <v>9223.22</v>
      </c>
    </row>
    <row r="37" customFormat="false" ht="15" hidden="false" customHeight="false" outlineLevel="0" collapsed="false">
      <c r="A37" s="12" t="str">
        <f aca="false">B37&amp;" | "&amp;C37&amp;" | "&amp;D37</f>
        <v>SDR | XCMG | XS143J</v>
      </c>
      <c r="B37" s="26" t="s">
        <v>868</v>
      </c>
      <c r="C37" s="30" t="str">
        <f aca="false">'Datos SDR'!$B$34</f>
        <v>XCMG</v>
      </c>
      <c r="D37" s="30" t="str">
        <f aca="false">'Datos SDR'!$C$34</f>
        <v>XS143J</v>
      </c>
      <c r="E37" s="31" t="n">
        <f aca="false">'Datos SDR'!$E$34</f>
        <v>14000</v>
      </c>
      <c r="F37" s="32" t="n">
        <f aca="false">'Datos SDR'!$Z$34</f>
        <v>0</v>
      </c>
      <c r="G37" s="33" t="n">
        <f aca="false">'Datos SDR'!$Y$34</f>
        <v>0</v>
      </c>
      <c r="H37" s="34" t="n">
        <f aca="false">'Datos SDR'!$AA$34</f>
        <v>1</v>
      </c>
      <c r="I37" s="34" t="n">
        <f aca="false">'Datos SDR'!$AB$34</f>
        <v>2</v>
      </c>
      <c r="J37" s="28" t="n">
        <v>0</v>
      </c>
      <c r="K37" s="26" t="s">
        <v>588</v>
      </c>
      <c r="L37" s="26" t="s">
        <v>869</v>
      </c>
      <c r="M37" s="35" t="n">
        <v>800</v>
      </c>
      <c r="N37" s="35" t="n">
        <v>567</v>
      </c>
      <c r="O37" s="35" t="n">
        <v>467</v>
      </c>
      <c r="P37" s="35" t="n">
        <v>233</v>
      </c>
      <c r="Q37" s="36" t="n">
        <f aca="false">INDEX(M37:P37,MATCH(TipoSuelo,{"Roca","Grava","Suelo mixto","Arcilla"},0))</f>
        <v>467</v>
      </c>
      <c r="R37" s="36" t="n">
        <f aca="false">Q37*IF(AND(C37="BOMAG",L37="SÍ"),MultTecBOMAG,1)</f>
        <v>467</v>
      </c>
      <c r="S37" s="36" t="n">
        <f aca="false">R37*Eficiencia</f>
        <v>467</v>
      </c>
      <c r="T37" s="37" t="n">
        <f aca="false">IF(AND(S37&gt;0,VolumenCompactacion&gt;0),VolumenCompactacion/S37,0)</f>
        <v>0</v>
      </c>
      <c r="U37" s="38" t="n">
        <f aca="false">G37*PrecioDiesel+H37+I37</f>
        <v>3</v>
      </c>
      <c r="V37" s="39" t="n">
        <f aca="false">T37*U37</f>
        <v>0</v>
      </c>
      <c r="W37" s="39" t="n">
        <f aca="false">G37*HorasOperacion*PrecioDiesel</f>
        <v>0</v>
      </c>
      <c r="X37" s="39" t="n">
        <f aca="false">HorasOperacion*(H37+I37)</f>
        <v>9000</v>
      </c>
      <c r="Y37" s="37" t="n">
        <f aca="false">IF(AND(B37="SDR",K37="NO"),HorasOperacion/JuntaIntervalo,0)</f>
        <v>60</v>
      </c>
      <c r="Z37" s="39" t="n">
        <f aca="false">Y37*JuntaHorasIntervencion*(JuntaTecnico+JuntaParada)+Y37*JuntaGrasa</f>
        <v>5550</v>
      </c>
      <c r="AA37" s="40" t="n">
        <f aca="false">F37+W37+X37+Z37-J37</f>
        <v>14550</v>
      </c>
      <c r="AB37" s="38" t="n">
        <f aca="false">U37+IF(Y37&gt;0,(JuntaHorasIntervencion*(JuntaTecnico+JuntaParada)+JuntaGrasa)/JuntaIntervalo,0)</f>
        <v>4.85</v>
      </c>
      <c r="AC37" s="38" t="n">
        <f aca="false">IF(HorasOperacion&gt;0,AA37/HorasOperacion,0)</f>
        <v>4.85</v>
      </c>
      <c r="AD37" s="36" t="n">
        <f aca="false">AA37*TasaMoneda</f>
        <v>14550</v>
      </c>
      <c r="AE37" s="39" t="n">
        <f aca="false">IFERROR(AA37-INDEX($AA$5:$AA$64,MATCH(1,INDEX((B$5:B$64=B37)*(C$5:C$64="BOMAG"),0),0)),0)</f>
        <v>-94522.78</v>
      </c>
    </row>
    <row r="38" customFormat="false" ht="15" hidden="false" customHeight="false" outlineLevel="0" collapsed="false">
      <c r="A38" s="12" t="str">
        <f aca="false">B38&amp;" | "&amp;C38&amp;" | "&amp;D38</f>
        <v>SDR | XCMG | XS162J</v>
      </c>
      <c r="B38" s="26" t="s">
        <v>868</v>
      </c>
      <c r="C38" s="30" t="str">
        <f aca="false">'Datos SDR'!$B$35</f>
        <v>XCMG</v>
      </c>
      <c r="D38" s="30" t="str">
        <f aca="false">'Datos SDR'!$C$35</f>
        <v>XS162J</v>
      </c>
      <c r="E38" s="31" t="n">
        <f aca="false">'Datos SDR'!$E$35</f>
        <v>16000</v>
      </c>
      <c r="F38" s="32" t="n">
        <f aca="false">'Datos SDR'!$Z$35</f>
        <v>0</v>
      </c>
      <c r="G38" s="33" t="n">
        <f aca="false">'Datos SDR'!$Y$35</f>
        <v>0</v>
      </c>
      <c r="H38" s="34" t="n">
        <f aca="false">'Datos SDR'!$AA$35</f>
        <v>1</v>
      </c>
      <c r="I38" s="34" t="n">
        <f aca="false">'Datos SDR'!$AB$35</f>
        <v>2</v>
      </c>
      <c r="J38" s="28" t="n">
        <v>0</v>
      </c>
      <c r="K38" s="26" t="s">
        <v>588</v>
      </c>
      <c r="L38" s="26" t="s">
        <v>869</v>
      </c>
      <c r="M38" s="35" t="n">
        <v>1400</v>
      </c>
      <c r="N38" s="35" t="n">
        <v>1000</v>
      </c>
      <c r="O38" s="35" t="n">
        <v>800</v>
      </c>
      <c r="P38" s="35" t="n">
        <v>400</v>
      </c>
      <c r="Q38" s="36" t="n">
        <f aca="false">INDEX(M38:P38,MATCH(TipoSuelo,{"Roca","Grava","Suelo mixto","Arcilla"},0))</f>
        <v>800</v>
      </c>
      <c r="R38" s="36" t="n">
        <f aca="false">Q38*IF(AND(C38="BOMAG",L38="SÍ"),MultTecBOMAG,1)</f>
        <v>800</v>
      </c>
      <c r="S38" s="36" t="n">
        <f aca="false">R38*Eficiencia</f>
        <v>800</v>
      </c>
      <c r="T38" s="37" t="n">
        <f aca="false">IF(AND(S38&gt;0,VolumenCompactacion&gt;0),VolumenCompactacion/S38,0)</f>
        <v>0</v>
      </c>
      <c r="U38" s="38" t="n">
        <f aca="false">G38*PrecioDiesel+H38+I38</f>
        <v>3</v>
      </c>
      <c r="V38" s="39" t="n">
        <f aca="false">T38*U38</f>
        <v>0</v>
      </c>
      <c r="W38" s="39" t="n">
        <f aca="false">G38*HorasOperacion*PrecioDiesel</f>
        <v>0</v>
      </c>
      <c r="X38" s="39" t="n">
        <f aca="false">HorasOperacion*(H38+I38)</f>
        <v>9000</v>
      </c>
      <c r="Y38" s="37" t="n">
        <f aca="false">IF(AND(B38="SDR",K38="NO"),HorasOperacion/JuntaIntervalo,0)</f>
        <v>60</v>
      </c>
      <c r="Z38" s="39" t="n">
        <f aca="false">Y38*JuntaHorasIntervencion*(JuntaTecnico+JuntaParada)+Y38*JuntaGrasa</f>
        <v>5550</v>
      </c>
      <c r="AA38" s="40" t="n">
        <f aca="false">F38+W38+X38+Z38-J38</f>
        <v>14550</v>
      </c>
      <c r="AB38" s="38" t="n">
        <f aca="false">U38+IF(Y38&gt;0,(JuntaHorasIntervencion*(JuntaTecnico+JuntaParada)+JuntaGrasa)/JuntaIntervalo,0)</f>
        <v>4.85</v>
      </c>
      <c r="AC38" s="38" t="n">
        <f aca="false">IF(HorasOperacion&gt;0,AA38/HorasOperacion,0)</f>
        <v>4.85</v>
      </c>
      <c r="AD38" s="36" t="n">
        <f aca="false">AA38*TasaMoneda</f>
        <v>14550</v>
      </c>
      <c r="AE38" s="39" t="n">
        <f aca="false">IFERROR(AA38-INDEX($AA$5:$AA$64,MATCH(1,INDEX((B$5:B$64=B38)*(C$5:C$64="BOMAG"),0),0)),0)</f>
        <v>-94522.78</v>
      </c>
    </row>
    <row r="39" customFormat="false" ht="15" hidden="false" customHeight="false" outlineLevel="0" collapsed="false">
      <c r="A39" s="12" t="str">
        <f aca="false">B39&amp;" | "&amp;C39&amp;" | "&amp;D39</f>
        <v>SDR | XCMG | XS182</v>
      </c>
      <c r="B39" s="26" t="s">
        <v>868</v>
      </c>
      <c r="C39" s="30" t="str">
        <f aca="false">'Datos SDR'!$B$36</f>
        <v>XCMG</v>
      </c>
      <c r="D39" s="30" t="str">
        <f aca="false">'Datos SDR'!$C$36</f>
        <v>XS182</v>
      </c>
      <c r="E39" s="31" t="n">
        <f aca="false">'Datos SDR'!$E$36</f>
        <v>18000</v>
      </c>
      <c r="F39" s="32" t="n">
        <f aca="false">'Datos SDR'!$Z$36</f>
        <v>0</v>
      </c>
      <c r="G39" s="33" t="n">
        <f aca="false">'Datos SDR'!$Y$36</f>
        <v>0</v>
      </c>
      <c r="H39" s="34" t="n">
        <f aca="false">'Datos SDR'!$AA$36</f>
        <v>1</v>
      </c>
      <c r="I39" s="34" t="n">
        <f aca="false">'Datos SDR'!$AB$36</f>
        <v>2</v>
      </c>
      <c r="J39" s="28" t="n">
        <v>0</v>
      </c>
      <c r="K39" s="26" t="s">
        <v>588</v>
      </c>
      <c r="L39" s="26" t="s">
        <v>869</v>
      </c>
      <c r="M39" s="35" t="n">
        <v>1067</v>
      </c>
      <c r="N39" s="35" t="n">
        <v>667</v>
      </c>
      <c r="O39" s="35" t="n">
        <v>600</v>
      </c>
      <c r="P39" s="35" t="n">
        <v>333</v>
      </c>
      <c r="Q39" s="36" t="n">
        <f aca="false">INDEX(M39:P39,MATCH(TipoSuelo,{"Roca","Grava","Suelo mixto","Arcilla"},0))</f>
        <v>600</v>
      </c>
      <c r="R39" s="36" t="n">
        <f aca="false">Q39*IF(AND(C39="BOMAG",L39="SÍ"),MultTecBOMAG,1)</f>
        <v>600</v>
      </c>
      <c r="S39" s="36" t="n">
        <f aca="false">R39*Eficiencia</f>
        <v>600</v>
      </c>
      <c r="T39" s="37" t="n">
        <f aca="false">IF(AND(S39&gt;0,VolumenCompactacion&gt;0),VolumenCompactacion/S39,0)</f>
        <v>0</v>
      </c>
      <c r="U39" s="38" t="n">
        <f aca="false">G39*PrecioDiesel+H39+I39</f>
        <v>3</v>
      </c>
      <c r="V39" s="39" t="n">
        <f aca="false">T39*U39</f>
        <v>0</v>
      </c>
      <c r="W39" s="39" t="n">
        <f aca="false">G39*HorasOperacion*PrecioDiesel</f>
        <v>0</v>
      </c>
      <c r="X39" s="39" t="n">
        <f aca="false">HorasOperacion*(H39+I39)</f>
        <v>9000</v>
      </c>
      <c r="Y39" s="37" t="n">
        <f aca="false">IF(AND(B39="SDR",K39="NO"),HorasOperacion/JuntaIntervalo,0)</f>
        <v>60</v>
      </c>
      <c r="Z39" s="39" t="n">
        <f aca="false">Y39*JuntaHorasIntervencion*(JuntaTecnico+JuntaParada)+Y39*JuntaGrasa</f>
        <v>5550</v>
      </c>
      <c r="AA39" s="40" t="n">
        <f aca="false">F39+W39+X39+Z39-J39</f>
        <v>14550</v>
      </c>
      <c r="AB39" s="38" t="n">
        <f aca="false">U39+IF(Y39&gt;0,(JuntaHorasIntervencion*(JuntaTecnico+JuntaParada)+JuntaGrasa)/JuntaIntervalo,0)</f>
        <v>4.85</v>
      </c>
      <c r="AC39" s="38" t="n">
        <f aca="false">IF(HorasOperacion&gt;0,AA39/HorasOperacion,0)</f>
        <v>4.85</v>
      </c>
      <c r="AD39" s="36" t="n">
        <f aca="false">AA39*TasaMoneda</f>
        <v>14550</v>
      </c>
      <c r="AE39" s="39" t="n">
        <f aca="false">IFERROR(AA39-INDEX($AA$5:$AA$64,MATCH(1,INDEX((B$5:B$64=B39)*(C$5:C$64="BOMAG"),0),0)),0)</f>
        <v>-94522.78</v>
      </c>
    </row>
    <row r="40" customFormat="false" ht="15" hidden="false" customHeight="false" outlineLevel="0" collapsed="false">
      <c r="A40" s="12" t="str">
        <f aca="false">B40&amp;" | "&amp;C40&amp;" | "&amp;D40</f>
        <v>SDR | XCMG | XS203J</v>
      </c>
      <c r="B40" s="26" t="s">
        <v>868</v>
      </c>
      <c r="C40" s="30" t="str">
        <f aca="false">'Datos SDR'!$B$37</f>
        <v>XCMG</v>
      </c>
      <c r="D40" s="30" t="str">
        <f aca="false">'Datos SDR'!$C$37</f>
        <v>XS203J</v>
      </c>
      <c r="E40" s="31" t="n">
        <f aca="false">'Datos SDR'!$E$37</f>
        <v>20000</v>
      </c>
      <c r="F40" s="32" t="n">
        <f aca="false">'Datos SDR'!$Z$37</f>
        <v>0</v>
      </c>
      <c r="G40" s="33" t="n">
        <f aca="false">'Datos SDR'!$Y$37</f>
        <v>0</v>
      </c>
      <c r="H40" s="34" t="n">
        <f aca="false">'Datos SDR'!$AA$37</f>
        <v>1</v>
      </c>
      <c r="I40" s="34" t="n">
        <f aca="false">'Datos SDR'!$AB$37</f>
        <v>2</v>
      </c>
      <c r="J40" s="28" t="n">
        <v>0</v>
      </c>
      <c r="K40" s="26" t="s">
        <v>588</v>
      </c>
      <c r="L40" s="26" t="s">
        <v>869</v>
      </c>
      <c r="M40" s="35" t="n">
        <v>1117</v>
      </c>
      <c r="N40" s="35" t="n">
        <v>683</v>
      </c>
      <c r="O40" s="35" t="n">
        <v>617</v>
      </c>
      <c r="P40" s="35" t="n">
        <v>333</v>
      </c>
      <c r="Q40" s="36" t="n">
        <f aca="false">INDEX(M40:P40,MATCH(TipoSuelo,{"Roca","Grava","Suelo mixto","Arcilla"},0))</f>
        <v>617</v>
      </c>
      <c r="R40" s="36" t="n">
        <f aca="false">Q40*IF(AND(C40="BOMAG",L40="SÍ"),MultTecBOMAG,1)</f>
        <v>617</v>
      </c>
      <c r="S40" s="36" t="n">
        <f aca="false">R40*Eficiencia</f>
        <v>617</v>
      </c>
      <c r="T40" s="37" t="n">
        <f aca="false">IF(AND(S40&gt;0,VolumenCompactacion&gt;0),VolumenCompactacion/S40,0)</f>
        <v>0</v>
      </c>
      <c r="U40" s="38" t="n">
        <f aca="false">G40*PrecioDiesel+H40+I40</f>
        <v>3</v>
      </c>
      <c r="V40" s="39" t="n">
        <f aca="false">T40*U40</f>
        <v>0</v>
      </c>
      <c r="W40" s="39" t="n">
        <f aca="false">G40*HorasOperacion*PrecioDiesel</f>
        <v>0</v>
      </c>
      <c r="X40" s="39" t="n">
        <f aca="false">HorasOperacion*(H40+I40)</f>
        <v>9000</v>
      </c>
      <c r="Y40" s="37" t="n">
        <f aca="false">IF(AND(B40="SDR",K40="NO"),HorasOperacion/JuntaIntervalo,0)</f>
        <v>60</v>
      </c>
      <c r="Z40" s="39" t="n">
        <f aca="false">Y40*JuntaHorasIntervencion*(JuntaTecnico+JuntaParada)+Y40*JuntaGrasa</f>
        <v>5550</v>
      </c>
      <c r="AA40" s="40" t="n">
        <f aca="false">F40+W40+X40+Z40-J40</f>
        <v>14550</v>
      </c>
      <c r="AB40" s="38" t="n">
        <f aca="false">U40+IF(Y40&gt;0,(JuntaHorasIntervencion*(JuntaTecnico+JuntaParada)+JuntaGrasa)/JuntaIntervalo,0)</f>
        <v>4.85</v>
      </c>
      <c r="AC40" s="38" t="n">
        <f aca="false">IF(HorasOperacion&gt;0,AA40/HorasOperacion,0)</f>
        <v>4.85</v>
      </c>
      <c r="AD40" s="36" t="n">
        <f aca="false">AA40*TasaMoneda</f>
        <v>14550</v>
      </c>
      <c r="AE40" s="39" t="n">
        <f aca="false">IFERROR(AA40-INDEX($AA$5:$AA$64,MATCH(1,INDEX((B$5:B$64=B40)*(C$5:C$64="BOMAG"),0),0)),0)</f>
        <v>-94522.78</v>
      </c>
    </row>
    <row r="41" customFormat="false" ht="15" hidden="false" customHeight="false" outlineLevel="0" collapsed="false">
      <c r="A41" s="12" t="str">
        <f aca="false">B41&amp;" | "&amp;C41&amp;" | "&amp;D41</f>
        <v>SDR | SANY | SSR120C-8</v>
      </c>
      <c r="B41" s="26" t="s">
        <v>868</v>
      </c>
      <c r="C41" s="30" t="str">
        <f aca="false">'Datos SDR'!$B$38</f>
        <v>SANY</v>
      </c>
      <c r="D41" s="30" t="str">
        <f aca="false">'Datos SDR'!$C$38</f>
        <v>SSR120C-8</v>
      </c>
      <c r="E41" s="31" t="n">
        <f aca="false">'Datos SDR'!$E$38</f>
        <v>11580</v>
      </c>
      <c r="F41" s="32" t="n">
        <f aca="false">'Datos SDR'!$Z$38</f>
        <v>0</v>
      </c>
      <c r="G41" s="33" t="n">
        <f aca="false">'Datos SDR'!$Y$38</f>
        <v>0</v>
      </c>
      <c r="H41" s="34" t="n">
        <f aca="false">'Datos SDR'!$AA$38</f>
        <v>1</v>
      </c>
      <c r="I41" s="34" t="n">
        <f aca="false">'Datos SDR'!$AB$38</f>
        <v>2</v>
      </c>
      <c r="J41" s="28" t="n">
        <v>0</v>
      </c>
      <c r="K41" s="26" t="s">
        <v>588</v>
      </c>
      <c r="L41" s="26" t="s">
        <v>869</v>
      </c>
      <c r="M41" s="35" t="n">
        <v>830</v>
      </c>
      <c r="N41" s="35" t="n">
        <v>630</v>
      </c>
      <c r="O41" s="35" t="n">
        <v>544</v>
      </c>
      <c r="P41" s="35" t="n">
        <v>272</v>
      </c>
      <c r="Q41" s="36" t="n">
        <f aca="false">INDEX(M41:P41,MATCH(TipoSuelo,{"Roca","Grava","Suelo mixto","Arcilla"},0))</f>
        <v>544</v>
      </c>
      <c r="R41" s="36" t="n">
        <f aca="false">Q41*IF(AND(C41="BOMAG",L41="SÍ"),MultTecBOMAG,1)</f>
        <v>544</v>
      </c>
      <c r="S41" s="36" t="n">
        <f aca="false">R41*Eficiencia</f>
        <v>544</v>
      </c>
      <c r="T41" s="37" t="n">
        <f aca="false">IF(AND(S41&gt;0,VolumenCompactacion&gt;0),VolumenCompactacion/S41,0)</f>
        <v>0</v>
      </c>
      <c r="U41" s="38" t="n">
        <f aca="false">G41*PrecioDiesel+H41+I41</f>
        <v>3</v>
      </c>
      <c r="V41" s="39" t="n">
        <f aca="false">T41*U41</f>
        <v>0</v>
      </c>
      <c r="W41" s="39" t="n">
        <f aca="false">G41*HorasOperacion*PrecioDiesel</f>
        <v>0</v>
      </c>
      <c r="X41" s="39" t="n">
        <f aca="false">HorasOperacion*(H41+I41)</f>
        <v>9000</v>
      </c>
      <c r="Y41" s="37" t="n">
        <f aca="false">IF(AND(B41="SDR",K41="NO"),HorasOperacion/JuntaIntervalo,0)</f>
        <v>60</v>
      </c>
      <c r="Z41" s="39" t="n">
        <f aca="false">Y41*JuntaHorasIntervencion*(JuntaTecnico+JuntaParada)+Y41*JuntaGrasa</f>
        <v>5550</v>
      </c>
      <c r="AA41" s="40" t="n">
        <f aca="false">F41+W41+X41+Z41-J41</f>
        <v>14550</v>
      </c>
      <c r="AB41" s="38" t="n">
        <f aca="false">U41+IF(Y41&gt;0,(JuntaHorasIntervencion*(JuntaTecnico+JuntaParada)+JuntaGrasa)/JuntaIntervalo,0)</f>
        <v>4.85</v>
      </c>
      <c r="AC41" s="38" t="n">
        <f aca="false">IF(HorasOperacion&gt;0,AA41/HorasOperacion,0)</f>
        <v>4.85</v>
      </c>
      <c r="AD41" s="36" t="n">
        <f aca="false">AA41*TasaMoneda</f>
        <v>14550</v>
      </c>
      <c r="AE41" s="39" t="n">
        <f aca="false">IFERROR(AA41-INDEX($AA$5:$AA$64,MATCH(1,INDEX((B$5:B$64=B41)*(C$5:C$64="BOMAG"),0),0)),0)</f>
        <v>-94522.78</v>
      </c>
    </row>
    <row r="42" customFormat="false" ht="15" hidden="false" customHeight="false" outlineLevel="0" collapsed="false">
      <c r="A42" s="12" t="str">
        <f aca="false">B42&amp;" | "&amp;C42&amp;" | "&amp;D42</f>
        <v>SDR | SANY | SSR120C-10</v>
      </c>
      <c r="B42" s="26" t="s">
        <v>868</v>
      </c>
      <c r="C42" s="30" t="str">
        <f aca="false">'Datos SDR'!$B$39</f>
        <v>SANY</v>
      </c>
      <c r="D42" s="30" t="str">
        <f aca="false">'Datos SDR'!$C$39</f>
        <v>SSR120C-10</v>
      </c>
      <c r="E42" s="31" t="n">
        <f aca="false">'Datos SDR'!$E$39</f>
        <v>12000</v>
      </c>
      <c r="F42" s="32" t="n">
        <f aca="false">'Datos SDR'!$Z$39</f>
        <v>0</v>
      </c>
      <c r="G42" s="33" t="n">
        <f aca="false">'Datos SDR'!$Y$39</f>
        <v>0</v>
      </c>
      <c r="H42" s="34" t="n">
        <f aca="false">'Datos SDR'!$AA$39</f>
        <v>1</v>
      </c>
      <c r="I42" s="34" t="n">
        <f aca="false">'Datos SDR'!$AB$39</f>
        <v>2</v>
      </c>
      <c r="J42" s="28" t="n">
        <v>0</v>
      </c>
      <c r="K42" s="26" t="s">
        <v>588</v>
      </c>
      <c r="L42" s="26" t="s">
        <v>869</v>
      </c>
      <c r="M42" s="35" t="n">
        <v>900</v>
      </c>
      <c r="N42" s="35" t="n">
        <v>700</v>
      </c>
      <c r="O42" s="35" t="n">
        <v>600</v>
      </c>
      <c r="P42" s="35" t="n">
        <v>300</v>
      </c>
      <c r="Q42" s="36" t="n">
        <f aca="false">INDEX(M42:P42,MATCH(TipoSuelo,{"Roca","Grava","Suelo mixto","Arcilla"},0))</f>
        <v>600</v>
      </c>
      <c r="R42" s="36" t="n">
        <f aca="false">Q42*IF(AND(C42="BOMAG",L42="SÍ"),MultTecBOMAG,1)</f>
        <v>600</v>
      </c>
      <c r="S42" s="36" t="n">
        <f aca="false">R42*Eficiencia</f>
        <v>600</v>
      </c>
      <c r="T42" s="37" t="n">
        <f aca="false">IF(AND(S42&gt;0,VolumenCompactacion&gt;0),VolumenCompactacion/S42,0)</f>
        <v>0</v>
      </c>
      <c r="U42" s="38" t="n">
        <f aca="false">G42*PrecioDiesel+H42+I42</f>
        <v>3</v>
      </c>
      <c r="V42" s="39" t="n">
        <f aca="false">T42*U42</f>
        <v>0</v>
      </c>
      <c r="W42" s="39" t="n">
        <f aca="false">G42*HorasOperacion*PrecioDiesel</f>
        <v>0</v>
      </c>
      <c r="X42" s="39" t="n">
        <f aca="false">HorasOperacion*(H42+I42)</f>
        <v>9000</v>
      </c>
      <c r="Y42" s="37" t="n">
        <f aca="false">IF(AND(B42="SDR",K42="NO"),HorasOperacion/JuntaIntervalo,0)</f>
        <v>60</v>
      </c>
      <c r="Z42" s="39" t="n">
        <f aca="false">Y42*JuntaHorasIntervencion*(JuntaTecnico+JuntaParada)+Y42*JuntaGrasa</f>
        <v>5550</v>
      </c>
      <c r="AA42" s="40" t="n">
        <f aca="false">F42+W42+X42+Z42-J42</f>
        <v>14550</v>
      </c>
      <c r="AB42" s="38" t="n">
        <f aca="false">U42+IF(Y42&gt;0,(JuntaHorasIntervencion*(JuntaTecnico+JuntaParada)+JuntaGrasa)/JuntaIntervalo,0)</f>
        <v>4.85</v>
      </c>
      <c r="AC42" s="38" t="n">
        <f aca="false">IF(HorasOperacion&gt;0,AA42/HorasOperacion,0)</f>
        <v>4.85</v>
      </c>
      <c r="AD42" s="36" t="n">
        <f aca="false">AA42*TasaMoneda</f>
        <v>14550</v>
      </c>
      <c r="AE42" s="39" t="n">
        <f aca="false">IFERROR(AA42-INDEX($AA$5:$AA$64,MATCH(1,INDEX((B$5:B$64=B42)*(C$5:C$64="BOMAG"),0),0)),0)</f>
        <v>-94522.78</v>
      </c>
    </row>
    <row r="43" customFormat="false" ht="15" hidden="false" customHeight="false" outlineLevel="0" collapsed="false">
      <c r="A43" s="12" t="str">
        <f aca="false">B43&amp;" | "&amp;C43&amp;" | "&amp;D43</f>
        <v>SDR | SANY | SSR120C-10S</v>
      </c>
      <c r="B43" s="26" t="s">
        <v>868</v>
      </c>
      <c r="C43" s="30" t="str">
        <f aca="false">'Datos SDR'!$B$40</f>
        <v>SANY</v>
      </c>
      <c r="D43" s="30" t="str">
        <f aca="false">'Datos SDR'!$C$40</f>
        <v>SSR120C-10S</v>
      </c>
      <c r="E43" s="31" t="n">
        <f aca="false">'Datos SDR'!$E$40</f>
        <v>12400</v>
      </c>
      <c r="F43" s="32" t="n">
        <f aca="false">'Datos SDR'!$Z$40</f>
        <v>56392</v>
      </c>
      <c r="G43" s="33" t="n">
        <f aca="false">'Datos SDR'!$Y$40</f>
        <v>15.3</v>
      </c>
      <c r="H43" s="34" t="n">
        <f aca="false">'Datos SDR'!$AA$40</f>
        <v>1</v>
      </c>
      <c r="I43" s="34" t="n">
        <f aca="false">'Datos SDR'!$AB$40</f>
        <v>2</v>
      </c>
      <c r="J43" s="28" t="n">
        <v>0</v>
      </c>
      <c r="K43" s="26" t="s">
        <v>588</v>
      </c>
      <c r="L43" s="26" t="s">
        <v>869</v>
      </c>
      <c r="M43" s="35" t="n">
        <v>740</v>
      </c>
      <c r="N43" s="35" t="n">
        <v>560</v>
      </c>
      <c r="O43" s="35" t="n">
        <v>480</v>
      </c>
      <c r="P43" s="35" t="n">
        <v>240</v>
      </c>
      <c r="Q43" s="36" t="n">
        <f aca="false">INDEX(M43:P43,MATCH(TipoSuelo,{"Roca","Grava","Suelo mixto","Arcilla"},0))</f>
        <v>480</v>
      </c>
      <c r="R43" s="36" t="n">
        <f aca="false">Q43*IF(AND(C43="BOMAG",L43="SÍ"),MultTecBOMAG,1)</f>
        <v>480</v>
      </c>
      <c r="S43" s="36" t="n">
        <f aca="false">R43*Eficiencia</f>
        <v>480</v>
      </c>
      <c r="T43" s="37" t="n">
        <f aca="false">IF(AND(S43&gt;0,VolumenCompactacion&gt;0),VolumenCompactacion/S43,0)</f>
        <v>0</v>
      </c>
      <c r="U43" s="38" t="n">
        <f aca="false">G43*PrecioDiesel+H43+I43</f>
        <v>21.36</v>
      </c>
      <c r="V43" s="39" t="n">
        <f aca="false">T43*U43</f>
        <v>0</v>
      </c>
      <c r="W43" s="39" t="n">
        <f aca="false">G43*HorasOperacion*PrecioDiesel</f>
        <v>55080</v>
      </c>
      <c r="X43" s="39" t="n">
        <f aca="false">HorasOperacion*(H43+I43)</f>
        <v>9000</v>
      </c>
      <c r="Y43" s="37" t="n">
        <f aca="false">IF(AND(B43="SDR",K43="NO"),HorasOperacion/JuntaIntervalo,0)</f>
        <v>60</v>
      </c>
      <c r="Z43" s="39" t="n">
        <f aca="false">Y43*JuntaHorasIntervencion*(JuntaTecnico+JuntaParada)+Y43*JuntaGrasa</f>
        <v>5550</v>
      </c>
      <c r="AA43" s="40" t="n">
        <f aca="false">F43+W43+X43+Z43-J43</f>
        <v>126022</v>
      </c>
      <c r="AB43" s="38" t="n">
        <f aca="false">U43+IF(Y43&gt;0,(JuntaHorasIntervencion*(JuntaTecnico+JuntaParada)+JuntaGrasa)/JuntaIntervalo,0)</f>
        <v>23.21</v>
      </c>
      <c r="AC43" s="38" t="n">
        <f aca="false">IF(HorasOperacion&gt;0,AA43/HorasOperacion,0)</f>
        <v>42.0073333333333</v>
      </c>
      <c r="AD43" s="36" t="n">
        <f aca="false">AA43*TasaMoneda</f>
        <v>126022</v>
      </c>
      <c r="AE43" s="39" t="n">
        <f aca="false">IFERROR(AA43-INDEX($AA$5:$AA$64,MATCH(1,INDEX((B$5:B$64=B43)*(C$5:C$64="BOMAG"),0),0)),0)</f>
        <v>16949.22</v>
      </c>
    </row>
    <row r="44" customFormat="false" ht="15" hidden="false" customHeight="false" outlineLevel="0" collapsed="false">
      <c r="A44" s="12" t="str">
        <f aca="false">B44&amp;" | "&amp;C44&amp;" | "&amp;D44</f>
        <v>SDR | SHANTUI | SR16</v>
      </c>
      <c r="B44" s="26" t="s">
        <v>868</v>
      </c>
      <c r="C44" s="30" t="str">
        <f aca="false">'Datos SDR'!$B$41</f>
        <v>SHANTUI</v>
      </c>
      <c r="D44" s="30" t="str">
        <f aca="false">'Datos SDR'!$C$41</f>
        <v>SR16</v>
      </c>
      <c r="E44" s="31" t="n">
        <f aca="false">'Datos SDR'!$E$41</f>
        <v>16000</v>
      </c>
      <c r="F44" s="32" t="n">
        <f aca="false">'Datos SDR'!$Z$41</f>
        <v>0</v>
      </c>
      <c r="G44" s="33" t="n">
        <f aca="false">'Datos SDR'!$Y$41</f>
        <v>0</v>
      </c>
      <c r="H44" s="34" t="n">
        <f aca="false">'Datos SDR'!$AA$41</f>
        <v>1</v>
      </c>
      <c r="I44" s="34" t="n">
        <f aca="false">'Datos SDR'!$AB$41</f>
        <v>2</v>
      </c>
      <c r="J44" s="28" t="n">
        <v>0</v>
      </c>
      <c r="K44" s="26" t="s">
        <v>588</v>
      </c>
      <c r="L44" s="26" t="s">
        <v>869</v>
      </c>
      <c r="M44" s="35" t="n">
        <v>1400</v>
      </c>
      <c r="N44" s="35" t="n">
        <v>1000</v>
      </c>
      <c r="O44" s="35" t="n">
        <v>800</v>
      </c>
      <c r="P44" s="35" t="n">
        <v>400</v>
      </c>
      <c r="Q44" s="36" t="n">
        <f aca="false">INDEX(M44:P44,MATCH(TipoSuelo,{"Roca","Grava","Suelo mixto","Arcilla"},0))</f>
        <v>800</v>
      </c>
      <c r="R44" s="36" t="n">
        <f aca="false">Q44*IF(AND(C44="BOMAG",L44="SÍ"),MultTecBOMAG,1)</f>
        <v>800</v>
      </c>
      <c r="S44" s="36" t="n">
        <f aca="false">R44*Eficiencia</f>
        <v>800</v>
      </c>
      <c r="T44" s="37" t="n">
        <f aca="false">IF(AND(S44&gt;0,VolumenCompactacion&gt;0),VolumenCompactacion/S44,0)</f>
        <v>0</v>
      </c>
      <c r="U44" s="38" t="n">
        <f aca="false">G44*PrecioDiesel+H44+I44</f>
        <v>3</v>
      </c>
      <c r="V44" s="39" t="n">
        <f aca="false">T44*U44</f>
        <v>0</v>
      </c>
      <c r="W44" s="39" t="n">
        <f aca="false">G44*HorasOperacion*PrecioDiesel</f>
        <v>0</v>
      </c>
      <c r="X44" s="39" t="n">
        <f aca="false">HorasOperacion*(H44+I44)</f>
        <v>9000</v>
      </c>
      <c r="Y44" s="37" t="n">
        <f aca="false">IF(AND(B44="SDR",K44="NO"),HorasOperacion/JuntaIntervalo,0)</f>
        <v>60</v>
      </c>
      <c r="Z44" s="39" t="n">
        <f aca="false">Y44*JuntaHorasIntervencion*(JuntaTecnico+JuntaParada)+Y44*JuntaGrasa</f>
        <v>5550</v>
      </c>
      <c r="AA44" s="40" t="n">
        <f aca="false">F44+W44+X44+Z44-J44</f>
        <v>14550</v>
      </c>
      <c r="AB44" s="38" t="n">
        <f aca="false">U44+IF(Y44&gt;0,(JuntaHorasIntervencion*(JuntaTecnico+JuntaParada)+JuntaGrasa)/JuntaIntervalo,0)</f>
        <v>4.85</v>
      </c>
      <c r="AC44" s="38" t="n">
        <f aca="false">IF(HorasOperacion&gt;0,AA44/HorasOperacion,0)</f>
        <v>4.85</v>
      </c>
      <c r="AD44" s="36" t="n">
        <f aca="false">AA44*TasaMoneda</f>
        <v>14550</v>
      </c>
      <c r="AE44" s="39" t="n">
        <f aca="false">IFERROR(AA44-INDEX($AA$5:$AA$64,MATCH(1,INDEX((B$5:B$64=B44)*(C$5:C$64="BOMAG"),0),0)),0)</f>
        <v>-94522.78</v>
      </c>
    </row>
    <row r="45" customFormat="false" ht="15" hidden="false" customHeight="false" outlineLevel="0" collapsed="false">
      <c r="A45" s="12" t="str">
        <f aca="false">B45&amp;" | "&amp;C45&amp;" | "&amp;D45</f>
        <v>SDR | SHANTUI | SR22</v>
      </c>
      <c r="B45" s="26" t="s">
        <v>868</v>
      </c>
      <c r="C45" s="30" t="str">
        <f aca="false">'Datos SDR'!$B$42</f>
        <v>SHANTUI</v>
      </c>
      <c r="D45" s="30" t="str">
        <f aca="false">'Datos SDR'!$C$42</f>
        <v>SR22</v>
      </c>
      <c r="E45" s="31" t="n">
        <f aca="false">'Datos SDR'!$E$42</f>
        <v>22000</v>
      </c>
      <c r="F45" s="32" t="n">
        <f aca="false">'Datos SDR'!$Z$42</f>
        <v>0</v>
      </c>
      <c r="G45" s="33" t="n">
        <f aca="false">'Datos SDR'!$Y$42</f>
        <v>0</v>
      </c>
      <c r="H45" s="34" t="n">
        <f aca="false">'Datos SDR'!$AA$42</f>
        <v>1</v>
      </c>
      <c r="I45" s="34" t="n">
        <f aca="false">'Datos SDR'!$AB$42</f>
        <v>2</v>
      </c>
      <c r="J45" s="28" t="n">
        <v>0</v>
      </c>
      <c r="K45" s="26" t="s">
        <v>588</v>
      </c>
      <c r="L45" s="26" t="s">
        <v>869</v>
      </c>
      <c r="M45" s="35" t="n">
        <v>1550</v>
      </c>
      <c r="N45" s="35" t="n">
        <v>1050</v>
      </c>
      <c r="O45" s="35" t="n">
        <v>850</v>
      </c>
      <c r="P45" s="35" t="n">
        <v>400</v>
      </c>
      <c r="Q45" s="36" t="n">
        <f aca="false">INDEX(M45:P45,MATCH(TipoSuelo,{"Roca","Grava","Suelo mixto","Arcilla"},0))</f>
        <v>850</v>
      </c>
      <c r="R45" s="36" t="n">
        <f aca="false">Q45*IF(AND(C45="BOMAG",L45="SÍ"),MultTecBOMAG,1)</f>
        <v>850</v>
      </c>
      <c r="S45" s="36" t="n">
        <f aca="false">R45*Eficiencia</f>
        <v>850</v>
      </c>
      <c r="T45" s="37" t="n">
        <f aca="false">IF(AND(S45&gt;0,VolumenCompactacion&gt;0),VolumenCompactacion/S45,0)</f>
        <v>0</v>
      </c>
      <c r="U45" s="38" t="n">
        <f aca="false">G45*PrecioDiesel+H45+I45</f>
        <v>3</v>
      </c>
      <c r="V45" s="39" t="n">
        <f aca="false">T45*U45</f>
        <v>0</v>
      </c>
      <c r="W45" s="39" t="n">
        <f aca="false">G45*HorasOperacion*PrecioDiesel</f>
        <v>0</v>
      </c>
      <c r="X45" s="39" t="n">
        <f aca="false">HorasOperacion*(H45+I45)</f>
        <v>9000</v>
      </c>
      <c r="Y45" s="37" t="n">
        <f aca="false">IF(AND(B45="SDR",K45="NO"),HorasOperacion/JuntaIntervalo,0)</f>
        <v>60</v>
      </c>
      <c r="Z45" s="39" t="n">
        <f aca="false">Y45*JuntaHorasIntervencion*(JuntaTecnico+JuntaParada)+Y45*JuntaGrasa</f>
        <v>5550</v>
      </c>
      <c r="AA45" s="40" t="n">
        <f aca="false">F45+W45+X45+Z45-J45</f>
        <v>14550</v>
      </c>
      <c r="AB45" s="38" t="n">
        <f aca="false">U45+IF(Y45&gt;0,(JuntaHorasIntervencion*(JuntaTecnico+JuntaParada)+JuntaGrasa)/JuntaIntervalo,0)</f>
        <v>4.85</v>
      </c>
      <c r="AC45" s="38" t="n">
        <f aca="false">IF(HorasOperacion&gt;0,AA45/HorasOperacion,0)</f>
        <v>4.85</v>
      </c>
      <c r="AD45" s="36" t="n">
        <f aca="false">AA45*TasaMoneda</f>
        <v>14550</v>
      </c>
      <c r="AE45" s="39" t="n">
        <f aca="false">IFERROR(AA45-INDEX($AA$5:$AA$64,MATCH(1,INDEX((B$5:B$64=B45)*(C$5:C$64="BOMAG"),0),0)),0)</f>
        <v>-94522.78</v>
      </c>
    </row>
    <row r="46" customFormat="false" ht="15" hidden="false" customHeight="false" outlineLevel="0" collapsed="false">
      <c r="A46" s="12" t="str">
        <f aca="false">B46&amp;" | "&amp;C46&amp;" | "&amp;D46</f>
        <v>SDR | JCB | 116D</v>
      </c>
      <c r="B46" s="26" t="s">
        <v>868</v>
      </c>
      <c r="C46" s="30" t="str">
        <f aca="false">'Datos SDR'!$B$43</f>
        <v>JCB</v>
      </c>
      <c r="D46" s="30" t="str">
        <f aca="false">'Datos SDR'!$C$43</f>
        <v>116D</v>
      </c>
      <c r="E46" s="31" t="n">
        <f aca="false">'Datos SDR'!$E$43</f>
        <v>11560</v>
      </c>
      <c r="F46" s="32" t="n">
        <f aca="false">'Datos SDR'!$Z$43</f>
        <v>84076</v>
      </c>
      <c r="G46" s="33" t="n">
        <f aca="false">'Datos SDR'!$Y$43</f>
        <v>13</v>
      </c>
      <c r="H46" s="34" t="n">
        <f aca="false">'Datos SDR'!$AA$43</f>
        <v>1</v>
      </c>
      <c r="I46" s="34" t="n">
        <f aca="false">'Datos SDR'!$AB$43</f>
        <v>2</v>
      </c>
      <c r="J46" s="28" t="n">
        <v>0</v>
      </c>
      <c r="K46" s="26" t="s">
        <v>588</v>
      </c>
      <c r="L46" s="26" t="s">
        <v>869</v>
      </c>
      <c r="M46" s="35" t="n">
        <v>827</v>
      </c>
      <c r="N46" s="35" t="n">
        <v>627</v>
      </c>
      <c r="O46" s="35" t="n">
        <v>541</v>
      </c>
      <c r="P46" s="35" t="n">
        <v>271</v>
      </c>
      <c r="Q46" s="36" t="n">
        <f aca="false">INDEX(M46:P46,MATCH(TipoSuelo,{"Roca","Grava","Suelo mixto","Arcilla"},0))</f>
        <v>541</v>
      </c>
      <c r="R46" s="36" t="n">
        <f aca="false">Q46*IF(AND(C46="BOMAG",L46="SÍ"),MultTecBOMAG,1)</f>
        <v>541</v>
      </c>
      <c r="S46" s="36" t="n">
        <f aca="false">R46*Eficiencia</f>
        <v>541</v>
      </c>
      <c r="T46" s="37" t="n">
        <f aca="false">IF(AND(S46&gt;0,VolumenCompactacion&gt;0),VolumenCompactacion/S46,0)</f>
        <v>0</v>
      </c>
      <c r="U46" s="38" t="n">
        <f aca="false">G46*PrecioDiesel+H46+I46</f>
        <v>18.6</v>
      </c>
      <c r="V46" s="39" t="n">
        <f aca="false">T46*U46</f>
        <v>0</v>
      </c>
      <c r="W46" s="39" t="n">
        <f aca="false">G46*HorasOperacion*PrecioDiesel</f>
        <v>46800</v>
      </c>
      <c r="X46" s="39" t="n">
        <f aca="false">HorasOperacion*(H46+I46)</f>
        <v>9000</v>
      </c>
      <c r="Y46" s="37" t="n">
        <f aca="false">IF(AND(B46="SDR",K46="NO"),HorasOperacion/JuntaIntervalo,0)</f>
        <v>60</v>
      </c>
      <c r="Z46" s="39" t="n">
        <f aca="false">Y46*JuntaHorasIntervencion*(JuntaTecnico+JuntaParada)+Y46*JuntaGrasa</f>
        <v>5550</v>
      </c>
      <c r="AA46" s="40" t="n">
        <f aca="false">F46+W46+X46+Z46-J46</f>
        <v>145426</v>
      </c>
      <c r="AB46" s="38" t="n">
        <f aca="false">U46+IF(Y46&gt;0,(JuntaHorasIntervencion*(JuntaTecnico+JuntaParada)+JuntaGrasa)/JuntaIntervalo,0)</f>
        <v>20.45</v>
      </c>
      <c r="AC46" s="38" t="n">
        <f aca="false">IF(HorasOperacion&gt;0,AA46/HorasOperacion,0)</f>
        <v>48.4753333333333</v>
      </c>
      <c r="AD46" s="36" t="n">
        <f aca="false">AA46*TasaMoneda</f>
        <v>145426</v>
      </c>
      <c r="AE46" s="39" t="n">
        <f aca="false">IFERROR(AA46-INDEX($AA$5:$AA$64,MATCH(1,INDEX((B$5:B$64=B46)*(C$5:C$64="BOMAG"),0),0)),0)</f>
        <v>36353.22</v>
      </c>
    </row>
    <row r="47" customFormat="false" ht="15" hidden="false" customHeight="false" outlineLevel="0" collapsed="false">
      <c r="A47" s="12" t="str">
        <f aca="false">B47&amp;" | "&amp;C47&amp;" | "&amp;D47</f>
        <v>SDR | JCB | VM115</v>
      </c>
      <c r="B47" s="26" t="s">
        <v>868</v>
      </c>
      <c r="C47" s="30" t="str">
        <f aca="false">'Datos SDR'!$B$44</f>
        <v>JCB</v>
      </c>
      <c r="D47" s="30" t="str">
        <f aca="false">'Datos SDR'!$C$44</f>
        <v>VM115</v>
      </c>
      <c r="E47" s="31" t="n">
        <f aca="false">'Datos SDR'!$E$44</f>
        <v>11500</v>
      </c>
      <c r="F47" s="32" t="n">
        <f aca="false">'Datos SDR'!$Z$44</f>
        <v>84076</v>
      </c>
      <c r="G47" s="33" t="n">
        <f aca="false">'Datos SDR'!$Y$44</f>
        <v>13</v>
      </c>
      <c r="H47" s="34" t="n">
        <f aca="false">'Datos SDR'!$AA$44</f>
        <v>1</v>
      </c>
      <c r="I47" s="34" t="n">
        <f aca="false">'Datos SDR'!$AB$44</f>
        <v>2</v>
      </c>
      <c r="J47" s="28" t="n">
        <v>0</v>
      </c>
      <c r="K47" s="26" t="s">
        <v>588</v>
      </c>
      <c r="L47" s="26" t="s">
        <v>869</v>
      </c>
      <c r="M47" s="35" t="n">
        <v>817</v>
      </c>
      <c r="N47" s="35" t="n">
        <v>617</v>
      </c>
      <c r="O47" s="35" t="n">
        <v>533</v>
      </c>
      <c r="P47" s="35" t="n">
        <v>267</v>
      </c>
      <c r="Q47" s="36" t="n">
        <f aca="false">INDEX(M47:P47,MATCH(TipoSuelo,{"Roca","Grava","Suelo mixto","Arcilla"},0))</f>
        <v>533</v>
      </c>
      <c r="R47" s="36" t="n">
        <f aca="false">Q47*IF(AND(C47="BOMAG",L47="SÍ"),MultTecBOMAG,1)</f>
        <v>533</v>
      </c>
      <c r="S47" s="36" t="n">
        <f aca="false">R47*Eficiencia</f>
        <v>533</v>
      </c>
      <c r="T47" s="37" t="n">
        <f aca="false">IF(AND(S47&gt;0,VolumenCompactacion&gt;0),VolumenCompactacion/S47,0)</f>
        <v>0</v>
      </c>
      <c r="U47" s="38" t="n">
        <f aca="false">G47*PrecioDiesel+H47+I47</f>
        <v>18.6</v>
      </c>
      <c r="V47" s="39" t="n">
        <f aca="false">T47*U47</f>
        <v>0</v>
      </c>
      <c r="W47" s="39" t="n">
        <f aca="false">G47*HorasOperacion*PrecioDiesel</f>
        <v>46800</v>
      </c>
      <c r="X47" s="39" t="n">
        <f aca="false">HorasOperacion*(H47+I47)</f>
        <v>9000</v>
      </c>
      <c r="Y47" s="37" t="n">
        <f aca="false">IF(AND(B47="SDR",K47="NO"),HorasOperacion/JuntaIntervalo,0)</f>
        <v>60</v>
      </c>
      <c r="Z47" s="39" t="n">
        <f aca="false">Y47*JuntaHorasIntervencion*(JuntaTecnico+JuntaParada)+Y47*JuntaGrasa</f>
        <v>5550</v>
      </c>
      <c r="AA47" s="40" t="n">
        <f aca="false">F47+W47+X47+Z47-J47</f>
        <v>145426</v>
      </c>
      <c r="AB47" s="38" t="n">
        <f aca="false">U47+IF(Y47&gt;0,(JuntaHorasIntervencion*(JuntaTecnico+JuntaParada)+JuntaGrasa)/JuntaIntervalo,0)</f>
        <v>20.45</v>
      </c>
      <c r="AC47" s="38" t="n">
        <f aca="false">IF(HorasOperacion&gt;0,AA47/HorasOperacion,0)</f>
        <v>48.4753333333333</v>
      </c>
      <c r="AD47" s="36" t="n">
        <f aca="false">AA47*TasaMoneda</f>
        <v>145426</v>
      </c>
      <c r="AE47" s="39" t="n">
        <f aca="false">IFERROR(AA47-INDEX($AA$5:$AA$64,MATCH(1,INDEX((B$5:B$64=B47)*(C$5:C$64="BOMAG"),0),0)),0)</f>
        <v>36353.22</v>
      </c>
    </row>
    <row r="48" customFormat="false" ht="15" hidden="false" customHeight="false" outlineLevel="0" collapsed="false">
      <c r="A48" s="12" t="str">
        <f aca="false">B48&amp;" | "&amp;C48&amp;" | "&amp;D48</f>
        <v>SDR | JCB | VM137</v>
      </c>
      <c r="B48" s="26" t="s">
        <v>868</v>
      </c>
      <c r="C48" s="30" t="str">
        <f aca="false">'Datos SDR'!$B$45</f>
        <v>JCB</v>
      </c>
      <c r="D48" s="30" t="str">
        <f aca="false">'Datos SDR'!$C$45</f>
        <v>VM137</v>
      </c>
      <c r="E48" s="31" t="n">
        <f aca="false">'Datos SDR'!$E$45</f>
        <v>13700</v>
      </c>
      <c r="F48" s="32" t="n">
        <f aca="false">'Datos SDR'!$Z$45</f>
        <v>0</v>
      </c>
      <c r="G48" s="33" t="n">
        <f aca="false">'Datos SDR'!$Y$45</f>
        <v>0</v>
      </c>
      <c r="H48" s="34" t="n">
        <f aca="false">'Datos SDR'!$AA$45</f>
        <v>1</v>
      </c>
      <c r="I48" s="34" t="n">
        <f aca="false">'Datos SDR'!$AB$45</f>
        <v>2</v>
      </c>
      <c r="J48" s="28" t="n">
        <v>0</v>
      </c>
      <c r="K48" s="26" t="s">
        <v>588</v>
      </c>
      <c r="L48" s="26" t="s">
        <v>869</v>
      </c>
      <c r="M48" s="35" t="n">
        <v>710</v>
      </c>
      <c r="N48" s="35" t="n">
        <v>502</v>
      </c>
      <c r="O48" s="35" t="n">
        <v>417</v>
      </c>
      <c r="P48" s="35" t="n">
        <v>208</v>
      </c>
      <c r="Q48" s="36" t="n">
        <f aca="false">INDEX(M48:P48,MATCH(TipoSuelo,{"Roca","Grava","Suelo mixto","Arcilla"},0))</f>
        <v>417</v>
      </c>
      <c r="R48" s="36" t="n">
        <f aca="false">Q48*IF(AND(C48="BOMAG",L48="SÍ"),MultTecBOMAG,1)</f>
        <v>417</v>
      </c>
      <c r="S48" s="36" t="n">
        <f aca="false">R48*Eficiencia</f>
        <v>417</v>
      </c>
      <c r="T48" s="37" t="n">
        <f aca="false">IF(AND(S48&gt;0,VolumenCompactacion&gt;0),VolumenCompactacion/S48,0)</f>
        <v>0</v>
      </c>
      <c r="U48" s="38" t="n">
        <f aca="false">G48*PrecioDiesel+H48+I48</f>
        <v>3</v>
      </c>
      <c r="V48" s="39" t="n">
        <f aca="false">T48*U48</f>
        <v>0</v>
      </c>
      <c r="W48" s="39" t="n">
        <f aca="false">G48*HorasOperacion*PrecioDiesel</f>
        <v>0</v>
      </c>
      <c r="X48" s="39" t="n">
        <f aca="false">HorasOperacion*(H48+I48)</f>
        <v>9000</v>
      </c>
      <c r="Y48" s="37" t="n">
        <f aca="false">IF(AND(B48="SDR",K48="NO"),HorasOperacion/JuntaIntervalo,0)</f>
        <v>60</v>
      </c>
      <c r="Z48" s="39" t="n">
        <f aca="false">Y48*JuntaHorasIntervencion*(JuntaTecnico+JuntaParada)+Y48*JuntaGrasa</f>
        <v>5550</v>
      </c>
      <c r="AA48" s="40" t="n">
        <f aca="false">F48+W48+X48+Z48-J48</f>
        <v>14550</v>
      </c>
      <c r="AB48" s="38" t="n">
        <f aca="false">U48+IF(Y48&gt;0,(JuntaHorasIntervencion*(JuntaTecnico+JuntaParada)+JuntaGrasa)/JuntaIntervalo,0)</f>
        <v>4.85</v>
      </c>
      <c r="AC48" s="38" t="n">
        <f aca="false">IF(HorasOperacion&gt;0,AA48/HorasOperacion,0)</f>
        <v>4.85</v>
      </c>
      <c r="AD48" s="36" t="n">
        <f aca="false">AA48*TasaMoneda</f>
        <v>14550</v>
      </c>
      <c r="AE48" s="39" t="n">
        <f aca="false">IFERROR(AA48-INDEX($AA$5:$AA$64,MATCH(1,INDEX((B$5:B$64=B48)*(C$5:C$64="BOMAG"),0),0)),0)</f>
        <v>-94522.78</v>
      </c>
    </row>
    <row r="49" customFormat="false" ht="15" hidden="false" customHeight="false" outlineLevel="0" collapsed="false">
      <c r="A49" s="12" t="str">
        <f aca="false">B49&amp;" | "&amp;C49&amp;" | "&amp;D49</f>
        <v>SDR | NEW HOLLAND | V110</v>
      </c>
      <c r="B49" s="26" t="s">
        <v>868</v>
      </c>
      <c r="C49" s="30" t="str">
        <f aca="false">'Datos SDR'!$B$46</f>
        <v>NEW HOLLAND</v>
      </c>
      <c r="D49" s="30" t="str">
        <f aca="false">'Datos SDR'!$C$46</f>
        <v>V110</v>
      </c>
      <c r="E49" s="31" t="n">
        <f aca="false">'Datos SDR'!$E$46</f>
        <v>11380</v>
      </c>
      <c r="F49" s="32" t="n">
        <f aca="false">'Datos SDR'!$Z$46</f>
        <v>71600</v>
      </c>
      <c r="G49" s="33" t="n">
        <f aca="false">'Datos SDR'!$Y$46</f>
        <v>10.5</v>
      </c>
      <c r="H49" s="34" t="n">
        <f aca="false">'Datos SDR'!$AA$46</f>
        <v>1</v>
      </c>
      <c r="I49" s="34" t="n">
        <f aca="false">'Datos SDR'!$AB$46</f>
        <v>2</v>
      </c>
      <c r="J49" s="28" t="n">
        <v>0</v>
      </c>
      <c r="K49" s="26" t="s">
        <v>588</v>
      </c>
      <c r="L49" s="26" t="s">
        <v>869</v>
      </c>
      <c r="M49" s="35" t="n">
        <v>797</v>
      </c>
      <c r="N49" s="35" t="n">
        <v>597</v>
      </c>
      <c r="O49" s="35" t="n">
        <v>517</v>
      </c>
      <c r="P49" s="35" t="n">
        <v>259</v>
      </c>
      <c r="Q49" s="36" t="n">
        <f aca="false">INDEX(M49:P49,MATCH(TipoSuelo,{"Roca","Grava","Suelo mixto","Arcilla"},0))</f>
        <v>517</v>
      </c>
      <c r="R49" s="36" t="n">
        <f aca="false">Q49*IF(AND(C49="BOMAG",L49="SÍ"),MultTecBOMAG,1)</f>
        <v>517</v>
      </c>
      <c r="S49" s="36" t="n">
        <f aca="false">R49*Eficiencia</f>
        <v>517</v>
      </c>
      <c r="T49" s="37" t="n">
        <f aca="false">IF(AND(S49&gt;0,VolumenCompactacion&gt;0),VolumenCompactacion/S49,0)</f>
        <v>0</v>
      </c>
      <c r="U49" s="38" t="n">
        <f aca="false">G49*PrecioDiesel+H49+I49</f>
        <v>15.6</v>
      </c>
      <c r="V49" s="39" t="n">
        <f aca="false">T49*U49</f>
        <v>0</v>
      </c>
      <c r="W49" s="39" t="n">
        <f aca="false">G49*HorasOperacion*PrecioDiesel</f>
        <v>37800</v>
      </c>
      <c r="X49" s="39" t="n">
        <f aca="false">HorasOperacion*(H49+I49)</f>
        <v>9000</v>
      </c>
      <c r="Y49" s="37" t="n">
        <f aca="false">IF(AND(B49="SDR",K49="NO"),HorasOperacion/JuntaIntervalo,0)</f>
        <v>60</v>
      </c>
      <c r="Z49" s="39" t="n">
        <f aca="false">Y49*JuntaHorasIntervencion*(JuntaTecnico+JuntaParada)+Y49*JuntaGrasa</f>
        <v>5550</v>
      </c>
      <c r="AA49" s="40" t="n">
        <f aca="false">F49+W49+X49+Z49-J49</f>
        <v>123950</v>
      </c>
      <c r="AB49" s="38" t="n">
        <f aca="false">U49+IF(Y49&gt;0,(JuntaHorasIntervencion*(JuntaTecnico+JuntaParada)+JuntaGrasa)/JuntaIntervalo,0)</f>
        <v>17.45</v>
      </c>
      <c r="AC49" s="38" t="n">
        <f aca="false">IF(HorasOperacion&gt;0,AA49/HorasOperacion,0)</f>
        <v>41.3166666666667</v>
      </c>
      <c r="AD49" s="36" t="n">
        <f aca="false">AA49*TasaMoneda</f>
        <v>123950</v>
      </c>
      <c r="AE49" s="39" t="n">
        <f aca="false">IFERROR(AA49-INDEX($AA$5:$AA$64,MATCH(1,INDEX((B$5:B$64=B49)*(C$5:C$64="BOMAG"),0),0)),0)</f>
        <v>14877.22</v>
      </c>
    </row>
    <row r="50" customFormat="false" ht="15" hidden="false" customHeight="false" outlineLevel="0" collapsed="false">
      <c r="A50" s="12" t="str">
        <f aca="false">B50&amp;" | "&amp;C50&amp;" | "&amp;D50</f>
        <v>SDR | AMMANN | ASC110</v>
      </c>
      <c r="B50" s="26" t="s">
        <v>868</v>
      </c>
      <c r="C50" s="30" t="str">
        <f aca="false">'Datos SDR'!$B$47</f>
        <v>AMMANN</v>
      </c>
      <c r="D50" s="30" t="str">
        <f aca="false">'Datos SDR'!$C$47</f>
        <v>ASC110</v>
      </c>
      <c r="E50" s="31" t="n">
        <f aca="false">'Datos SDR'!$E$47</f>
        <v>11490</v>
      </c>
      <c r="F50" s="32" t="n">
        <f aca="false">'Datos SDR'!$Z$47</f>
        <v>89930</v>
      </c>
      <c r="G50" s="33" t="n">
        <f aca="false">'Datos SDR'!$Y$47</f>
        <v>16.3</v>
      </c>
      <c r="H50" s="34" t="n">
        <f aca="false">'Datos SDR'!$AA$47</f>
        <v>1</v>
      </c>
      <c r="I50" s="34" t="n">
        <f aca="false">'Datos SDR'!$AB$47</f>
        <v>2</v>
      </c>
      <c r="J50" s="28" t="n">
        <v>0</v>
      </c>
      <c r="K50" s="26" t="s">
        <v>588</v>
      </c>
      <c r="L50" s="26" t="s">
        <v>869</v>
      </c>
      <c r="M50" s="35" t="n">
        <v>815</v>
      </c>
      <c r="N50" s="35" t="n">
        <v>615</v>
      </c>
      <c r="O50" s="35" t="n">
        <v>532</v>
      </c>
      <c r="P50" s="35" t="n">
        <v>266</v>
      </c>
      <c r="Q50" s="36" t="n">
        <f aca="false">INDEX(M50:P50,MATCH(TipoSuelo,{"Roca","Grava","Suelo mixto","Arcilla"},0))</f>
        <v>532</v>
      </c>
      <c r="R50" s="36" t="n">
        <f aca="false">Q50*IF(AND(C50="BOMAG",L50="SÍ"),MultTecBOMAG,1)</f>
        <v>532</v>
      </c>
      <c r="S50" s="36" t="n">
        <f aca="false">R50*Eficiencia</f>
        <v>532</v>
      </c>
      <c r="T50" s="37" t="n">
        <f aca="false">IF(AND(S50&gt;0,VolumenCompactacion&gt;0),VolumenCompactacion/S50,0)</f>
        <v>0</v>
      </c>
      <c r="U50" s="38" t="n">
        <f aca="false">G50*PrecioDiesel+H50+I50</f>
        <v>22.56</v>
      </c>
      <c r="V50" s="39" t="n">
        <f aca="false">T50*U50</f>
        <v>0</v>
      </c>
      <c r="W50" s="39" t="n">
        <f aca="false">G50*HorasOperacion*PrecioDiesel</f>
        <v>58680</v>
      </c>
      <c r="X50" s="39" t="n">
        <f aca="false">HorasOperacion*(H50+I50)</f>
        <v>9000</v>
      </c>
      <c r="Y50" s="37" t="n">
        <f aca="false">IF(AND(B50="SDR",K50="NO"),HorasOperacion/JuntaIntervalo,0)</f>
        <v>60</v>
      </c>
      <c r="Z50" s="39" t="n">
        <f aca="false">Y50*JuntaHorasIntervencion*(JuntaTecnico+JuntaParada)+Y50*JuntaGrasa</f>
        <v>5550</v>
      </c>
      <c r="AA50" s="40" t="n">
        <f aca="false">F50+W50+X50+Z50-J50</f>
        <v>163160</v>
      </c>
      <c r="AB50" s="38" t="n">
        <f aca="false">U50+IF(Y50&gt;0,(JuntaHorasIntervencion*(JuntaTecnico+JuntaParada)+JuntaGrasa)/JuntaIntervalo,0)</f>
        <v>24.41</v>
      </c>
      <c r="AC50" s="38" t="n">
        <f aca="false">IF(HorasOperacion&gt;0,AA50/HorasOperacion,0)</f>
        <v>54.3866666666667</v>
      </c>
      <c r="AD50" s="36" t="n">
        <f aca="false">AA50*TasaMoneda</f>
        <v>163160</v>
      </c>
      <c r="AE50" s="39" t="n">
        <f aca="false">IFERROR(AA50-INDEX($AA$5:$AA$64,MATCH(1,INDEX((B$5:B$64=B50)*(C$5:C$64="BOMAG"),0),0)),0)</f>
        <v>54087.22</v>
      </c>
    </row>
    <row r="51" customFormat="false" ht="15" hidden="false" customHeight="false" outlineLevel="0" collapsed="false">
      <c r="A51" s="12" t="str">
        <f aca="false">B51&amp;" | "&amp;C51&amp;" | "&amp;D51</f>
        <v>SDR | SEM | 510</v>
      </c>
      <c r="B51" s="26" t="s">
        <v>868</v>
      </c>
      <c r="C51" s="30" t="str">
        <f aca="false">'Datos SDR'!$B$48</f>
        <v>SEM</v>
      </c>
      <c r="D51" s="30" t="str">
        <f aca="false">'Datos SDR'!$C$48</f>
        <v>510</v>
      </c>
      <c r="E51" s="31" t="n">
        <f aca="false">'Datos SDR'!$E$48</f>
        <v>10000</v>
      </c>
      <c r="F51" s="32" t="n">
        <f aca="false">'Datos SDR'!$Z$48</f>
        <v>84076</v>
      </c>
      <c r="G51" s="33" t="n">
        <f aca="false">'Datos SDR'!$Y$48</f>
        <v>13</v>
      </c>
      <c r="H51" s="34" t="n">
        <f aca="false">'Datos SDR'!$AA$48</f>
        <v>1</v>
      </c>
      <c r="I51" s="34" t="n">
        <f aca="false">'Datos SDR'!$AB$48</f>
        <v>2</v>
      </c>
      <c r="J51" s="28" t="n">
        <v>0</v>
      </c>
      <c r="K51" s="26" t="s">
        <v>588</v>
      </c>
      <c r="L51" s="26" t="s">
        <v>869</v>
      </c>
      <c r="M51" s="35" t="n">
        <v>567</v>
      </c>
      <c r="N51" s="35" t="n">
        <v>367</v>
      </c>
      <c r="O51" s="35" t="n">
        <v>333</v>
      </c>
      <c r="P51" s="35" t="n">
        <v>167</v>
      </c>
      <c r="Q51" s="36" t="n">
        <f aca="false">INDEX(M51:P51,MATCH(TipoSuelo,{"Roca","Grava","Suelo mixto","Arcilla"},0))</f>
        <v>333</v>
      </c>
      <c r="R51" s="36" t="n">
        <f aca="false">Q51*IF(AND(C51="BOMAG",L51="SÍ"),MultTecBOMAG,1)</f>
        <v>333</v>
      </c>
      <c r="S51" s="36" t="n">
        <f aca="false">R51*Eficiencia</f>
        <v>333</v>
      </c>
      <c r="T51" s="37" t="n">
        <f aca="false">IF(AND(S51&gt;0,VolumenCompactacion&gt;0),VolumenCompactacion/S51,0)</f>
        <v>0</v>
      </c>
      <c r="U51" s="38" t="n">
        <f aca="false">G51*PrecioDiesel+H51+I51</f>
        <v>18.6</v>
      </c>
      <c r="V51" s="39" t="n">
        <f aca="false">T51*U51</f>
        <v>0</v>
      </c>
      <c r="W51" s="39" t="n">
        <f aca="false">G51*HorasOperacion*PrecioDiesel</f>
        <v>46800</v>
      </c>
      <c r="X51" s="39" t="n">
        <f aca="false">HorasOperacion*(H51+I51)</f>
        <v>9000</v>
      </c>
      <c r="Y51" s="37" t="n">
        <f aca="false">IF(AND(B51="SDR",K51="NO"),HorasOperacion/JuntaIntervalo,0)</f>
        <v>60</v>
      </c>
      <c r="Z51" s="39" t="n">
        <f aca="false">Y51*JuntaHorasIntervencion*(JuntaTecnico+JuntaParada)+Y51*JuntaGrasa</f>
        <v>5550</v>
      </c>
      <c r="AA51" s="40" t="n">
        <f aca="false">F51+W51+X51+Z51-J51</f>
        <v>145426</v>
      </c>
      <c r="AB51" s="38" t="n">
        <f aca="false">U51+IF(Y51&gt;0,(JuntaHorasIntervencion*(JuntaTecnico+JuntaParada)+JuntaGrasa)/JuntaIntervalo,0)</f>
        <v>20.45</v>
      </c>
      <c r="AC51" s="38" t="n">
        <f aca="false">IF(HorasOperacion&gt;0,AA51/HorasOperacion,0)</f>
        <v>48.4753333333333</v>
      </c>
      <c r="AD51" s="36" t="n">
        <f aca="false">AA51*TasaMoneda</f>
        <v>145426</v>
      </c>
      <c r="AE51" s="39" t="n">
        <f aca="false">IFERROR(AA51-INDEX($AA$5:$AA$64,MATCH(1,INDEX((B$5:B$64=B51)*(C$5:C$64="BOMAG"),0),0)),0)</f>
        <v>36353.22</v>
      </c>
    </row>
    <row r="52" customFormat="false" ht="15" hidden="false" customHeight="false" outlineLevel="0" collapsed="false">
      <c r="A52" s="12" t="str">
        <f aca="false">B52&amp;" | "&amp;C52&amp;" | "&amp;D52</f>
        <v>SDR | CASE | 1107EX</v>
      </c>
      <c r="B52" s="26" t="s">
        <v>868</v>
      </c>
      <c r="C52" s="30" t="str">
        <f aca="false">'Datos SDR'!$B$49</f>
        <v>CASE</v>
      </c>
      <c r="D52" s="30" t="str">
        <f aca="false">'Datos SDR'!$C$49</f>
        <v>1107EX</v>
      </c>
      <c r="E52" s="31" t="n">
        <f aca="false">'Datos SDR'!$E$49</f>
        <v>11200</v>
      </c>
      <c r="F52" s="32" t="n">
        <f aca="false">'Datos SDR'!$Z$49</f>
        <v>84076</v>
      </c>
      <c r="G52" s="33" t="n">
        <f aca="false">'Datos SDR'!$Y$49</f>
        <v>13</v>
      </c>
      <c r="H52" s="34" t="n">
        <f aca="false">'Datos SDR'!$AA$49</f>
        <v>1</v>
      </c>
      <c r="I52" s="34" t="n">
        <f aca="false">'Datos SDR'!$AB$49</f>
        <v>2</v>
      </c>
      <c r="J52" s="28" t="n">
        <v>0</v>
      </c>
      <c r="K52" s="26" t="s">
        <v>588</v>
      </c>
      <c r="L52" s="26" t="s">
        <v>869</v>
      </c>
      <c r="M52" s="35" t="n">
        <v>767</v>
      </c>
      <c r="N52" s="35" t="n">
        <v>567</v>
      </c>
      <c r="O52" s="35" t="n">
        <v>493</v>
      </c>
      <c r="P52" s="35" t="n">
        <v>247</v>
      </c>
      <c r="Q52" s="36" t="n">
        <f aca="false">INDEX(M52:P52,MATCH(TipoSuelo,{"Roca","Grava","Suelo mixto","Arcilla"},0))</f>
        <v>493</v>
      </c>
      <c r="R52" s="36" t="n">
        <f aca="false">Q52*IF(AND(C52="BOMAG",L52="SÍ"),MultTecBOMAG,1)</f>
        <v>493</v>
      </c>
      <c r="S52" s="36" t="n">
        <f aca="false">R52*Eficiencia</f>
        <v>493</v>
      </c>
      <c r="T52" s="37" t="n">
        <f aca="false">IF(AND(S52&gt;0,VolumenCompactacion&gt;0),VolumenCompactacion/S52,0)</f>
        <v>0</v>
      </c>
      <c r="U52" s="38" t="n">
        <f aca="false">G52*PrecioDiesel+H52+I52</f>
        <v>18.6</v>
      </c>
      <c r="V52" s="39" t="n">
        <f aca="false">T52*U52</f>
        <v>0</v>
      </c>
      <c r="W52" s="39" t="n">
        <f aca="false">G52*HorasOperacion*PrecioDiesel</f>
        <v>46800</v>
      </c>
      <c r="X52" s="39" t="n">
        <f aca="false">HorasOperacion*(H52+I52)</f>
        <v>9000</v>
      </c>
      <c r="Y52" s="37" t="n">
        <f aca="false">IF(AND(B52="SDR",K52="NO"),HorasOperacion/JuntaIntervalo,0)</f>
        <v>60</v>
      </c>
      <c r="Z52" s="39" t="n">
        <f aca="false">Y52*JuntaHorasIntervencion*(JuntaTecnico+JuntaParada)+Y52*JuntaGrasa</f>
        <v>5550</v>
      </c>
      <c r="AA52" s="40" t="n">
        <f aca="false">F52+W52+X52+Z52-J52</f>
        <v>145426</v>
      </c>
      <c r="AB52" s="38" t="n">
        <f aca="false">U52+IF(Y52&gt;0,(JuntaHorasIntervencion*(JuntaTecnico+JuntaParada)+JuntaGrasa)/JuntaIntervalo,0)</f>
        <v>20.45</v>
      </c>
      <c r="AC52" s="38" t="n">
        <f aca="false">IF(HorasOperacion&gt;0,AA52/HorasOperacion,0)</f>
        <v>48.4753333333333</v>
      </c>
      <c r="AD52" s="36" t="n">
        <f aca="false">AA52*TasaMoneda</f>
        <v>145426</v>
      </c>
      <c r="AE52" s="39" t="n">
        <f aca="false">IFERROR(AA52-INDEX($AA$5:$AA$64,MATCH(1,INDEX((B$5:B$64=B52)*(C$5:C$64="BOMAG"),0),0)),0)</f>
        <v>36353.22</v>
      </c>
    </row>
    <row r="53" customFormat="false" ht="15" hidden="false" customHeight="false" outlineLevel="0" collapsed="false">
      <c r="A53" s="12" t="str">
        <f aca="false">B53&amp;" | "&amp;C53&amp;" | "&amp;D53</f>
        <v>LTR | BOMAG | BW120 AD-5</v>
      </c>
      <c r="B53" s="26" t="s">
        <v>870</v>
      </c>
      <c r="C53" s="30" t="str">
        <f aca="false">'Datos LTR'!$B$2</f>
        <v>BOMAG</v>
      </c>
      <c r="D53" s="30" t="str">
        <f aca="false">'Datos LTR'!$C$2</f>
        <v>BW120 AD-5</v>
      </c>
      <c r="E53" s="31" t="n">
        <f aca="false">'Datos LTR'!$D$2</f>
        <v>2700</v>
      </c>
      <c r="F53" s="32" t="n">
        <f aca="false">'Datos LTR'!$O$2</f>
        <v>28000</v>
      </c>
      <c r="G53" s="33" t="n">
        <f aca="false">'Datos LTR'!$N$2</f>
        <v>2.6</v>
      </c>
      <c r="H53" s="34" t="n">
        <f aca="false">'Datos LTR'!$P$2</f>
        <v>1</v>
      </c>
      <c r="I53" s="34" t="n">
        <f aca="false">'Datos LTR'!$Q$2</f>
        <v>1.3</v>
      </c>
      <c r="J53" s="28" t="n">
        <v>0</v>
      </c>
      <c r="K53" s="26" t="s">
        <v>869</v>
      </c>
      <c r="L53" s="26" t="s">
        <v>588</v>
      </c>
      <c r="M53" s="35" t="n">
        <v>169</v>
      </c>
      <c r="N53" s="35" t="n">
        <v>144</v>
      </c>
      <c r="O53" s="35" t="n">
        <v>144</v>
      </c>
      <c r="P53" s="35" t="n">
        <v>82</v>
      </c>
      <c r="Q53" s="36" t="n">
        <f aca="false">INDEX(M53:P53,MATCH(TipoSuelo,{"Roca","Grava","Suelo mixto","Arcilla"},0))</f>
        <v>144</v>
      </c>
      <c r="R53" s="36" t="n">
        <f aca="false">Q53*IF(AND(C53="BOMAG",L53="SÍ"),MultTecBOMAG,1)</f>
        <v>144</v>
      </c>
      <c r="S53" s="36" t="n">
        <f aca="false">R53*Eficiencia</f>
        <v>144</v>
      </c>
      <c r="T53" s="37" t="n">
        <f aca="false">IF(AND(S53&gt;0,VolumenCompactacion&gt;0),VolumenCompactacion/S53,0)</f>
        <v>0</v>
      </c>
      <c r="U53" s="38" t="n">
        <f aca="false">G53*PrecioDiesel+H53+I53</f>
        <v>5.42</v>
      </c>
      <c r="V53" s="39" t="n">
        <f aca="false">T53*U53</f>
        <v>0</v>
      </c>
      <c r="W53" s="39" t="n">
        <f aca="false">G53*HorasOperacion*PrecioDiesel</f>
        <v>9360</v>
      </c>
      <c r="X53" s="39" t="n">
        <f aca="false">HorasOperacion*(H53+I53)</f>
        <v>6900</v>
      </c>
      <c r="Y53" s="37" t="n">
        <f aca="false">IF(AND(B53="SDR",K53="NO"),HorasOperacion/JuntaIntervalo,0)</f>
        <v>0</v>
      </c>
      <c r="Z53" s="39" t="n">
        <f aca="false">Y53*JuntaHorasIntervencion*(JuntaTecnico+JuntaParada)+Y53*JuntaGrasa</f>
        <v>0</v>
      </c>
      <c r="AA53" s="40" t="n">
        <f aca="false">F53+W53+X53+Z53-J53</f>
        <v>44260</v>
      </c>
      <c r="AB53" s="38" t="n">
        <f aca="false">U53+IF(Y53&gt;0,(JuntaHorasIntervencion*(JuntaTecnico+JuntaParada)+JuntaGrasa)/JuntaIntervalo,0)</f>
        <v>5.42</v>
      </c>
      <c r="AC53" s="38" t="n">
        <f aca="false">IF(HorasOperacion&gt;0,AA53/HorasOperacion,0)</f>
        <v>14.7533333333333</v>
      </c>
      <c r="AD53" s="36" t="n">
        <f aca="false">AA53*TasaMoneda</f>
        <v>44260</v>
      </c>
      <c r="AE53" s="39" t="n">
        <f aca="false">IFERROR(AA53-INDEX($AA$5:$AA$64,MATCH(1,INDEX((B$5:B$64=B53)*(C$5:C$64="BOMAG"),0),0)),0)</f>
        <v>0</v>
      </c>
    </row>
    <row r="54" customFormat="false" ht="15" hidden="false" customHeight="false" outlineLevel="0" collapsed="false">
      <c r="A54" s="12" t="str">
        <f aca="false">B54&amp;" | "&amp;C54&amp;" | "&amp;D54</f>
        <v>LTR | CATERPILLAR | CB2.7GC</v>
      </c>
      <c r="B54" s="26" t="s">
        <v>870</v>
      </c>
      <c r="C54" s="30" t="str">
        <f aca="false">'Datos LTR'!$B$3</f>
        <v>CATERPILLAR</v>
      </c>
      <c r="D54" s="30" t="str">
        <f aca="false">'Datos LTR'!$C$3</f>
        <v>CB2.7GC</v>
      </c>
      <c r="E54" s="31" t="n">
        <f aca="false">'Datos LTR'!$D$3</f>
        <v>2698</v>
      </c>
      <c r="F54" s="32" t="n">
        <f aca="false">'Datos LTR'!$O$3</f>
        <v>29630</v>
      </c>
      <c r="G54" s="33" t="n">
        <f aca="false">'Datos LTR'!$N$3</f>
        <v>2.3</v>
      </c>
      <c r="H54" s="34" t="n">
        <f aca="false">'Datos LTR'!$P$3</f>
        <v>1</v>
      </c>
      <c r="I54" s="34" t="n">
        <f aca="false">'Datos LTR'!$Q$3</f>
        <v>2</v>
      </c>
      <c r="J54" s="28" t="n">
        <v>0</v>
      </c>
      <c r="K54" s="26" t="s">
        <v>869</v>
      </c>
      <c r="L54" s="26" t="s">
        <v>869</v>
      </c>
      <c r="M54" s="35" t="n">
        <v>169</v>
      </c>
      <c r="N54" s="35" t="n">
        <v>144</v>
      </c>
      <c r="O54" s="35" t="n">
        <v>144</v>
      </c>
      <c r="P54" s="35" t="n">
        <v>82</v>
      </c>
      <c r="Q54" s="36" t="n">
        <f aca="false">INDEX(M54:P54,MATCH(TipoSuelo,{"Roca","Grava","Suelo mixto","Arcilla"},0))</f>
        <v>144</v>
      </c>
      <c r="R54" s="36" t="n">
        <f aca="false">Q54*IF(AND(C54="BOMAG",L54="SÍ"),MultTecBOMAG,1)</f>
        <v>144</v>
      </c>
      <c r="S54" s="36" t="n">
        <f aca="false">R54*Eficiencia</f>
        <v>144</v>
      </c>
      <c r="T54" s="37" t="n">
        <f aca="false">IF(AND(S54&gt;0,VolumenCompactacion&gt;0),VolumenCompactacion/S54,0)</f>
        <v>0</v>
      </c>
      <c r="U54" s="38" t="n">
        <f aca="false">G54*PrecioDiesel+H54+I54</f>
        <v>5.76</v>
      </c>
      <c r="V54" s="39" t="n">
        <f aca="false">T54*U54</f>
        <v>0</v>
      </c>
      <c r="W54" s="39" t="n">
        <f aca="false">G54*HorasOperacion*PrecioDiesel</f>
        <v>8280</v>
      </c>
      <c r="X54" s="39" t="n">
        <f aca="false">HorasOperacion*(H54+I54)</f>
        <v>9000</v>
      </c>
      <c r="Y54" s="37" t="n">
        <f aca="false">IF(AND(B54="SDR",K54="NO"),HorasOperacion/JuntaIntervalo,0)</f>
        <v>0</v>
      </c>
      <c r="Z54" s="39" t="n">
        <f aca="false">Y54*JuntaHorasIntervencion*(JuntaTecnico+JuntaParada)+Y54*JuntaGrasa</f>
        <v>0</v>
      </c>
      <c r="AA54" s="40" t="n">
        <f aca="false">F54+W54+X54+Z54-J54</f>
        <v>46910</v>
      </c>
      <c r="AB54" s="38" t="n">
        <f aca="false">U54+IF(Y54&gt;0,(JuntaHorasIntervencion*(JuntaTecnico+JuntaParada)+JuntaGrasa)/JuntaIntervalo,0)</f>
        <v>5.76</v>
      </c>
      <c r="AC54" s="38" t="n">
        <f aca="false">IF(HorasOperacion&gt;0,AA54/HorasOperacion,0)</f>
        <v>15.6366666666667</v>
      </c>
      <c r="AD54" s="36" t="n">
        <f aca="false">AA54*TasaMoneda</f>
        <v>46910</v>
      </c>
      <c r="AE54" s="39" t="n">
        <f aca="false">IFERROR(AA54-INDEX($AA$5:$AA$64,MATCH(1,INDEX((B$5:B$64=B54)*(C$5:C$64="BOMAG"),0),0)),0)</f>
        <v>2650</v>
      </c>
    </row>
    <row r="55" customFormat="false" ht="15" hidden="false" customHeight="false" outlineLevel="0" collapsed="false">
      <c r="A55" s="12" t="str">
        <f aca="false">B55&amp;" | "&amp;C55&amp;" | "&amp;D55</f>
        <v>LTR | HAMM | HD12 VV</v>
      </c>
      <c r="B55" s="26" t="s">
        <v>870</v>
      </c>
      <c r="C55" s="30" t="str">
        <f aca="false">'Datos LTR'!$B$4</f>
        <v>HAMM</v>
      </c>
      <c r="D55" s="30" t="str">
        <f aca="false">'Datos LTR'!$C$4</f>
        <v>HD12 VV</v>
      </c>
      <c r="E55" s="31" t="n">
        <f aca="false">'Datos LTR'!$D$4</f>
        <v>2695</v>
      </c>
      <c r="F55" s="32" t="n">
        <f aca="false">'Datos LTR'!$O$4</f>
        <v>29580</v>
      </c>
      <c r="G55" s="33" t="n">
        <f aca="false">'Datos LTR'!$N$4</f>
        <v>2.8</v>
      </c>
      <c r="H55" s="34" t="n">
        <f aca="false">'Datos LTR'!$P$4</f>
        <v>1.5</v>
      </c>
      <c r="I55" s="34" t="n">
        <f aca="false">'Datos LTR'!$Q$4</f>
        <v>1</v>
      </c>
      <c r="J55" s="28" t="n">
        <v>0</v>
      </c>
      <c r="K55" s="26" t="s">
        <v>869</v>
      </c>
      <c r="L55" s="26" t="s">
        <v>869</v>
      </c>
      <c r="M55" s="35" t="n">
        <v>169</v>
      </c>
      <c r="N55" s="35" t="n">
        <v>143</v>
      </c>
      <c r="O55" s="35" t="n">
        <v>143</v>
      </c>
      <c r="P55" s="35" t="n">
        <v>82</v>
      </c>
      <c r="Q55" s="36" t="n">
        <f aca="false">INDEX(M55:P55,MATCH(TipoSuelo,{"Roca","Grava","Suelo mixto","Arcilla"},0))</f>
        <v>143</v>
      </c>
      <c r="R55" s="36" t="n">
        <f aca="false">Q55*IF(AND(C55="BOMAG",L55="SÍ"),MultTecBOMAG,1)</f>
        <v>143</v>
      </c>
      <c r="S55" s="36" t="n">
        <f aca="false">R55*Eficiencia</f>
        <v>143</v>
      </c>
      <c r="T55" s="37" t="n">
        <f aca="false">IF(AND(S55&gt;0,VolumenCompactacion&gt;0),VolumenCompactacion/S55,0)</f>
        <v>0</v>
      </c>
      <c r="U55" s="38" t="n">
        <f aca="false">G55*PrecioDiesel+H55+I55</f>
        <v>5.86</v>
      </c>
      <c r="V55" s="39" t="n">
        <f aca="false">T55*U55</f>
        <v>0</v>
      </c>
      <c r="W55" s="39" t="n">
        <f aca="false">G55*HorasOperacion*PrecioDiesel</f>
        <v>10080</v>
      </c>
      <c r="X55" s="39" t="n">
        <f aca="false">HorasOperacion*(H55+I55)</f>
        <v>7500</v>
      </c>
      <c r="Y55" s="37" t="n">
        <f aca="false">IF(AND(B55="SDR",K55="NO"),HorasOperacion/JuntaIntervalo,0)</f>
        <v>0</v>
      </c>
      <c r="Z55" s="39" t="n">
        <f aca="false">Y55*JuntaHorasIntervencion*(JuntaTecnico+JuntaParada)+Y55*JuntaGrasa</f>
        <v>0</v>
      </c>
      <c r="AA55" s="40" t="n">
        <f aca="false">F55+W55+X55+Z55-J55</f>
        <v>47160</v>
      </c>
      <c r="AB55" s="38" t="n">
        <f aca="false">U55+IF(Y55&gt;0,(JuntaHorasIntervencion*(JuntaTecnico+JuntaParada)+JuntaGrasa)/JuntaIntervalo,0)</f>
        <v>5.86</v>
      </c>
      <c r="AC55" s="38" t="n">
        <f aca="false">IF(HorasOperacion&gt;0,AA55/HorasOperacion,0)</f>
        <v>15.72</v>
      </c>
      <c r="AD55" s="36" t="n">
        <f aca="false">AA55*TasaMoneda</f>
        <v>47160</v>
      </c>
      <c r="AE55" s="39" t="n">
        <f aca="false">IFERROR(AA55-INDEX($AA$5:$AA$64,MATCH(1,INDEX((B$5:B$64=B55)*(C$5:C$64="BOMAG"),0),0)),0)</f>
        <v>2900</v>
      </c>
    </row>
    <row r="56" customFormat="false" ht="15" hidden="false" customHeight="false" outlineLevel="0" collapsed="false">
      <c r="A56" s="12" t="str">
        <f aca="false">B56&amp;" | "&amp;C56&amp;" | "&amp;D56</f>
        <v>LTR | DYNAPAC | CC1200</v>
      </c>
      <c r="B56" s="26" t="s">
        <v>870</v>
      </c>
      <c r="C56" s="30" t="str">
        <f aca="false">'Datos LTR'!$B$5</f>
        <v>DYNAPAC</v>
      </c>
      <c r="D56" s="30" t="str">
        <f aca="false">'Datos LTR'!$C$5</f>
        <v>CC1200</v>
      </c>
      <c r="E56" s="31" t="n">
        <f aca="false">'Datos LTR'!$D$5</f>
        <v>2600</v>
      </c>
      <c r="F56" s="32" t="n">
        <f aca="false">'Datos LTR'!$O$5</f>
        <v>26783</v>
      </c>
      <c r="G56" s="33" t="n">
        <f aca="false">'Datos LTR'!$N$5</f>
        <v>2.7</v>
      </c>
      <c r="H56" s="34" t="n">
        <f aca="false">'Datos LTR'!$P$5</f>
        <v>1</v>
      </c>
      <c r="I56" s="34" t="n">
        <f aca="false">'Datos LTR'!$Q$5</f>
        <v>1.4</v>
      </c>
      <c r="J56" s="28" t="n">
        <v>0</v>
      </c>
      <c r="K56" s="26" t="s">
        <v>869</v>
      </c>
      <c r="L56" s="26" t="s">
        <v>869</v>
      </c>
      <c r="M56" s="35" t="n">
        <v>155</v>
      </c>
      <c r="N56" s="35" t="n">
        <v>132</v>
      </c>
      <c r="O56" s="35" t="n">
        <v>132</v>
      </c>
      <c r="P56" s="35" t="n">
        <v>76</v>
      </c>
      <c r="Q56" s="36" t="n">
        <f aca="false">INDEX(M56:P56,MATCH(TipoSuelo,{"Roca","Grava","Suelo mixto","Arcilla"},0))</f>
        <v>132</v>
      </c>
      <c r="R56" s="36" t="n">
        <f aca="false">Q56*IF(AND(C56="BOMAG",L56="SÍ"),MultTecBOMAG,1)</f>
        <v>132</v>
      </c>
      <c r="S56" s="36" t="n">
        <f aca="false">R56*Eficiencia</f>
        <v>132</v>
      </c>
      <c r="T56" s="37" t="n">
        <f aca="false">IF(AND(S56&gt;0,VolumenCompactacion&gt;0),VolumenCompactacion/S56,0)</f>
        <v>0</v>
      </c>
      <c r="U56" s="38" t="n">
        <f aca="false">G56*PrecioDiesel+H56+I56</f>
        <v>5.64</v>
      </c>
      <c r="V56" s="39" t="n">
        <f aca="false">T56*U56</f>
        <v>0</v>
      </c>
      <c r="W56" s="39" t="n">
        <f aca="false">G56*HorasOperacion*PrecioDiesel</f>
        <v>9720</v>
      </c>
      <c r="X56" s="39" t="n">
        <f aca="false">HorasOperacion*(H56+I56)</f>
        <v>7200</v>
      </c>
      <c r="Y56" s="37" t="n">
        <f aca="false">IF(AND(B56="SDR",K56="NO"),HorasOperacion/JuntaIntervalo,0)</f>
        <v>0</v>
      </c>
      <c r="Z56" s="39" t="n">
        <f aca="false">Y56*JuntaHorasIntervencion*(JuntaTecnico+JuntaParada)+Y56*JuntaGrasa</f>
        <v>0</v>
      </c>
      <c r="AA56" s="40" t="n">
        <f aca="false">F56+W56+X56+Z56-J56</f>
        <v>43703</v>
      </c>
      <c r="AB56" s="38" t="n">
        <f aca="false">U56+IF(Y56&gt;0,(JuntaHorasIntervencion*(JuntaTecnico+JuntaParada)+JuntaGrasa)/JuntaIntervalo,0)</f>
        <v>5.64</v>
      </c>
      <c r="AC56" s="38" t="n">
        <f aca="false">IF(HorasOperacion&gt;0,AA56/HorasOperacion,0)</f>
        <v>14.5676666666667</v>
      </c>
      <c r="AD56" s="36" t="n">
        <f aca="false">AA56*TasaMoneda</f>
        <v>43703</v>
      </c>
      <c r="AE56" s="39" t="n">
        <f aca="false">IFERROR(AA56-INDEX($AA$5:$AA$64,MATCH(1,INDEX((B$5:B$64=B56)*(C$5:C$64="BOMAG"),0),0)),0)</f>
        <v>-557</v>
      </c>
    </row>
    <row r="57" customFormat="false" ht="15" hidden="false" customHeight="false" outlineLevel="0" collapsed="false">
      <c r="A57" s="12" t="str">
        <f aca="false">B57&amp;" | "&amp;C57&amp;" | "&amp;D57</f>
        <v>LTR | AMMANN | ARX 26</v>
      </c>
      <c r="B57" s="26" t="s">
        <v>870</v>
      </c>
      <c r="C57" s="30" t="str">
        <f aca="false">'Datos LTR'!$B$6</f>
        <v>AMMANN</v>
      </c>
      <c r="D57" s="30" t="str">
        <f aca="false">'Datos LTR'!$C$6</f>
        <v>ARX 26</v>
      </c>
      <c r="E57" s="31" t="n">
        <f aca="false">'Datos LTR'!$D$6</f>
        <v>2460</v>
      </c>
      <c r="F57" s="32" t="n">
        <f aca="false">'Datos LTR'!$O$6</f>
        <v>25500</v>
      </c>
      <c r="G57" s="33" t="n">
        <f aca="false">'Datos LTR'!$N$6</f>
        <v>3.2</v>
      </c>
      <c r="H57" s="34" t="n">
        <f aca="false">'Datos LTR'!$P$6</f>
        <v>1</v>
      </c>
      <c r="I57" s="34" t="n">
        <f aca="false">'Datos LTR'!$Q$6</f>
        <v>1.3</v>
      </c>
      <c r="J57" s="28" t="n">
        <v>0</v>
      </c>
      <c r="K57" s="26" t="s">
        <v>869</v>
      </c>
      <c r="L57" s="26" t="s">
        <v>869</v>
      </c>
      <c r="M57" s="35" t="n">
        <v>136</v>
      </c>
      <c r="N57" s="35" t="n">
        <v>115</v>
      </c>
      <c r="O57" s="35" t="n">
        <v>115</v>
      </c>
      <c r="P57" s="35" t="n">
        <v>68</v>
      </c>
      <c r="Q57" s="36" t="n">
        <f aca="false">INDEX(M57:P57,MATCH(TipoSuelo,{"Roca","Grava","Suelo mixto","Arcilla"},0))</f>
        <v>115</v>
      </c>
      <c r="R57" s="36" t="n">
        <f aca="false">Q57*IF(AND(C57="BOMAG",L57="SÍ"),MultTecBOMAG,1)</f>
        <v>115</v>
      </c>
      <c r="S57" s="36" t="n">
        <f aca="false">R57*Eficiencia</f>
        <v>115</v>
      </c>
      <c r="T57" s="37" t="n">
        <f aca="false">IF(AND(S57&gt;0,VolumenCompactacion&gt;0),VolumenCompactacion/S57,0)</f>
        <v>0</v>
      </c>
      <c r="U57" s="38" t="n">
        <f aca="false">G57*PrecioDiesel+H57+I57</f>
        <v>6.14</v>
      </c>
      <c r="V57" s="39" t="n">
        <f aca="false">T57*U57</f>
        <v>0</v>
      </c>
      <c r="W57" s="39" t="n">
        <f aca="false">G57*HorasOperacion*PrecioDiesel</f>
        <v>11520</v>
      </c>
      <c r="X57" s="39" t="n">
        <f aca="false">HorasOperacion*(H57+I57)</f>
        <v>6900</v>
      </c>
      <c r="Y57" s="37" t="n">
        <f aca="false">IF(AND(B57="SDR",K57="NO"),HorasOperacion/JuntaIntervalo,0)</f>
        <v>0</v>
      </c>
      <c r="Z57" s="39" t="n">
        <f aca="false">Y57*JuntaHorasIntervencion*(JuntaTecnico+JuntaParada)+Y57*JuntaGrasa</f>
        <v>0</v>
      </c>
      <c r="AA57" s="40" t="n">
        <f aca="false">F57+W57+X57+Z57-J57</f>
        <v>43920</v>
      </c>
      <c r="AB57" s="38" t="n">
        <f aca="false">U57+IF(Y57&gt;0,(JuntaHorasIntervencion*(JuntaTecnico+JuntaParada)+JuntaGrasa)/JuntaIntervalo,0)</f>
        <v>6.14</v>
      </c>
      <c r="AC57" s="38" t="n">
        <f aca="false">IF(HorasOperacion&gt;0,AA57/HorasOperacion,0)</f>
        <v>14.64</v>
      </c>
      <c r="AD57" s="36" t="n">
        <f aca="false">AA57*TasaMoneda</f>
        <v>43920</v>
      </c>
      <c r="AE57" s="39" t="n">
        <f aca="false">IFERROR(AA57-INDEX($AA$5:$AA$64,MATCH(1,INDEX((B$5:B$64=B57)*(C$5:C$64="BOMAG"),0),0)),0)</f>
        <v>-340</v>
      </c>
    </row>
    <row r="58" customFormat="false" ht="15" hidden="false" customHeight="false" outlineLevel="0" collapsed="false">
      <c r="A58" s="12" t="str">
        <f aca="false">B58&amp;" | "&amp;C58&amp;" | "&amp;D58</f>
        <v>LTR | JCB | CT260</v>
      </c>
      <c r="B58" s="26" t="s">
        <v>870</v>
      </c>
      <c r="C58" s="30" t="str">
        <f aca="false">'Datos LTR'!$B$7</f>
        <v>JCB</v>
      </c>
      <c r="D58" s="30" t="str">
        <f aca="false">'Datos LTR'!$C$7</f>
        <v>CT260</v>
      </c>
      <c r="E58" s="31" t="n">
        <f aca="false">'Datos LTR'!$D$7</f>
        <v>2740</v>
      </c>
      <c r="F58" s="32" t="n">
        <f aca="false">'Datos LTR'!$O$7</f>
        <v>23500</v>
      </c>
      <c r="G58" s="33" t="n">
        <f aca="false">'Datos LTR'!$N$7</f>
        <v>2.7</v>
      </c>
      <c r="H58" s="34" t="n">
        <f aca="false">'Datos LTR'!$P$7</f>
        <v>1.5</v>
      </c>
      <c r="I58" s="34" t="n">
        <f aca="false">'Datos LTR'!$Q$7</f>
        <v>2</v>
      </c>
      <c r="J58" s="28" t="n">
        <v>0</v>
      </c>
      <c r="K58" s="26" t="s">
        <v>869</v>
      </c>
      <c r="L58" s="26" t="s">
        <v>869</v>
      </c>
      <c r="M58" s="35" t="n">
        <v>175</v>
      </c>
      <c r="N58" s="35" t="n">
        <v>149</v>
      </c>
      <c r="O58" s="35" t="n">
        <v>149</v>
      </c>
      <c r="P58" s="35" t="n">
        <v>84</v>
      </c>
      <c r="Q58" s="36" t="n">
        <f aca="false">INDEX(M58:P58,MATCH(TipoSuelo,{"Roca","Grava","Suelo mixto","Arcilla"},0))</f>
        <v>149</v>
      </c>
      <c r="R58" s="36" t="n">
        <f aca="false">Q58*IF(AND(C58="BOMAG",L58="SÍ"),MultTecBOMAG,1)</f>
        <v>149</v>
      </c>
      <c r="S58" s="36" t="n">
        <f aca="false">R58*Eficiencia</f>
        <v>149</v>
      </c>
      <c r="T58" s="37" t="n">
        <f aca="false">IF(AND(S58&gt;0,VolumenCompactacion&gt;0),VolumenCompactacion/S58,0)</f>
        <v>0</v>
      </c>
      <c r="U58" s="38" t="n">
        <f aca="false">G58*PrecioDiesel+H58+I58</f>
        <v>6.74</v>
      </c>
      <c r="V58" s="39" t="n">
        <f aca="false">T58*U58</f>
        <v>0</v>
      </c>
      <c r="W58" s="39" t="n">
        <f aca="false">G58*HorasOperacion*PrecioDiesel</f>
        <v>9720</v>
      </c>
      <c r="X58" s="39" t="n">
        <f aca="false">HorasOperacion*(H58+I58)</f>
        <v>10500</v>
      </c>
      <c r="Y58" s="37" t="n">
        <f aca="false">IF(AND(B58="SDR",K58="NO"),HorasOperacion/JuntaIntervalo,0)</f>
        <v>0</v>
      </c>
      <c r="Z58" s="39" t="n">
        <f aca="false">Y58*JuntaHorasIntervencion*(JuntaTecnico+JuntaParada)+Y58*JuntaGrasa</f>
        <v>0</v>
      </c>
      <c r="AA58" s="40" t="n">
        <f aca="false">F58+W58+X58+Z58-J58</f>
        <v>43720</v>
      </c>
      <c r="AB58" s="38" t="n">
        <f aca="false">U58+IF(Y58&gt;0,(JuntaHorasIntervencion*(JuntaTecnico+JuntaParada)+JuntaGrasa)/JuntaIntervalo,0)</f>
        <v>6.74</v>
      </c>
      <c r="AC58" s="38" t="n">
        <f aca="false">IF(HorasOperacion&gt;0,AA58/HorasOperacion,0)</f>
        <v>14.5733333333333</v>
      </c>
      <c r="AD58" s="36" t="n">
        <f aca="false">AA58*TasaMoneda</f>
        <v>43720</v>
      </c>
      <c r="AE58" s="39" t="n">
        <f aca="false">IFERROR(AA58-INDEX($AA$5:$AA$64,MATCH(1,INDEX((B$5:B$64=B58)*(C$5:C$64="BOMAG"),0),0)),0)</f>
        <v>-540</v>
      </c>
    </row>
    <row r="59" customFormat="false" ht="15" hidden="false" customHeight="false" outlineLevel="0" collapsed="false">
      <c r="A59" s="12" t="str">
        <f aca="false">B59&amp;" | "&amp;C59&amp;" | "&amp;D59</f>
        <v>LTR | WACKER NEUSON | RD27</v>
      </c>
      <c r="B59" s="26" t="s">
        <v>870</v>
      </c>
      <c r="C59" s="30" t="str">
        <f aca="false">'Datos LTR'!$B$8</f>
        <v>WACKER NEUSON</v>
      </c>
      <c r="D59" s="30" t="str">
        <f aca="false">'Datos LTR'!$C$8</f>
        <v>RD27</v>
      </c>
      <c r="E59" s="31" t="n">
        <f aca="false">'Datos LTR'!$D$8</f>
        <v>2695</v>
      </c>
      <c r="F59" s="32" t="n">
        <f aca="false">'Datos LTR'!$O$8</f>
        <v>23500</v>
      </c>
      <c r="G59" s="33" t="n">
        <f aca="false">'Datos LTR'!$N$8</f>
        <v>2.7</v>
      </c>
      <c r="H59" s="34" t="n">
        <f aca="false">'Datos LTR'!$P$8</f>
        <v>1.5</v>
      </c>
      <c r="I59" s="34" t="n">
        <f aca="false">'Datos LTR'!$Q$8</f>
        <v>2</v>
      </c>
      <c r="J59" s="28" t="n">
        <v>0</v>
      </c>
      <c r="K59" s="26" t="s">
        <v>869</v>
      </c>
      <c r="L59" s="26" t="s">
        <v>869</v>
      </c>
      <c r="M59" s="35" t="n">
        <v>169</v>
      </c>
      <c r="N59" s="35" t="n">
        <v>143</v>
      </c>
      <c r="O59" s="35" t="n">
        <v>143</v>
      </c>
      <c r="P59" s="35" t="n">
        <v>82</v>
      </c>
      <c r="Q59" s="36" t="n">
        <f aca="false">INDEX(M59:P59,MATCH(TipoSuelo,{"Roca","Grava","Suelo mixto","Arcilla"},0))</f>
        <v>143</v>
      </c>
      <c r="R59" s="36" t="n">
        <f aca="false">Q59*IF(AND(C59="BOMAG",L59="SÍ"),MultTecBOMAG,1)</f>
        <v>143</v>
      </c>
      <c r="S59" s="36" t="n">
        <f aca="false">R59*Eficiencia</f>
        <v>143</v>
      </c>
      <c r="T59" s="37" t="n">
        <f aca="false">IF(AND(S59&gt;0,VolumenCompactacion&gt;0),VolumenCompactacion/S59,0)</f>
        <v>0</v>
      </c>
      <c r="U59" s="38" t="n">
        <f aca="false">G59*PrecioDiesel+H59+I59</f>
        <v>6.74</v>
      </c>
      <c r="V59" s="39" t="n">
        <f aca="false">T59*U59</f>
        <v>0</v>
      </c>
      <c r="W59" s="39" t="n">
        <f aca="false">G59*HorasOperacion*PrecioDiesel</f>
        <v>9720</v>
      </c>
      <c r="X59" s="39" t="n">
        <f aca="false">HorasOperacion*(H59+I59)</f>
        <v>10500</v>
      </c>
      <c r="Y59" s="37" t="n">
        <f aca="false">IF(AND(B59="SDR",K59="NO"),HorasOperacion/JuntaIntervalo,0)</f>
        <v>0</v>
      </c>
      <c r="Z59" s="39" t="n">
        <f aca="false">Y59*JuntaHorasIntervencion*(JuntaTecnico+JuntaParada)+Y59*JuntaGrasa</f>
        <v>0</v>
      </c>
      <c r="AA59" s="40" t="n">
        <f aca="false">F59+W59+X59+Z59-J59</f>
        <v>43720</v>
      </c>
      <c r="AB59" s="38" t="n">
        <f aca="false">U59+IF(Y59&gt;0,(JuntaHorasIntervencion*(JuntaTecnico+JuntaParada)+JuntaGrasa)/JuntaIntervalo,0)</f>
        <v>6.74</v>
      </c>
      <c r="AC59" s="38" t="n">
        <f aca="false">IF(HorasOperacion&gt;0,AA59/HorasOperacion,0)</f>
        <v>14.5733333333333</v>
      </c>
      <c r="AD59" s="36" t="n">
        <f aca="false">AA59*TasaMoneda</f>
        <v>43720</v>
      </c>
      <c r="AE59" s="39" t="n">
        <f aca="false">IFERROR(AA59-INDEX($AA$5:$AA$64,MATCH(1,INDEX((B$5:B$64=B59)*(C$5:C$64="BOMAG"),0),0)),0)</f>
        <v>-540</v>
      </c>
    </row>
    <row r="60" customFormat="false" ht="15" hidden="false" customHeight="false" outlineLevel="0" collapsed="false">
      <c r="A60" s="12" t="str">
        <f aca="false">B60&amp;" | "&amp;C60&amp;" | "&amp;D60</f>
        <v>HTR | BOMAG | BW161 AD-4</v>
      </c>
      <c r="B60" s="26" t="s">
        <v>871</v>
      </c>
      <c r="C60" s="30" t="str">
        <f aca="false">'Datos HTR'!$B$2</f>
        <v>BOMAG</v>
      </c>
      <c r="D60" s="30" t="str">
        <f aca="false">'Datos HTR'!$C$2</f>
        <v>BW161 AD-4</v>
      </c>
      <c r="E60" s="31" t="n">
        <f aca="false">'Datos HTR'!$D$2</f>
        <v>9700</v>
      </c>
      <c r="F60" s="32" t="n">
        <f aca="false">'Datos HTR'!$S$2</f>
        <v>28000</v>
      </c>
      <c r="G60" s="33" t="n">
        <f aca="false">'Datos HTR'!$R$2</f>
        <v>11.8</v>
      </c>
      <c r="H60" s="34" t="n">
        <f aca="false">'Datos HTR'!$T$2</f>
        <v>1</v>
      </c>
      <c r="I60" s="34" t="n">
        <f aca="false">'Datos HTR'!$U$2</f>
        <v>2</v>
      </c>
      <c r="J60" s="28" t="n">
        <v>0</v>
      </c>
      <c r="K60" s="26" t="s">
        <v>869</v>
      </c>
      <c r="L60" s="26" t="s">
        <v>588</v>
      </c>
      <c r="M60" s="35" t="n">
        <v>517</v>
      </c>
      <c r="N60" s="35" t="n">
        <v>317</v>
      </c>
      <c r="O60" s="35" t="n">
        <v>293</v>
      </c>
      <c r="P60" s="35" t="n">
        <v>147</v>
      </c>
      <c r="Q60" s="36" t="n">
        <f aca="false">INDEX(M60:P60,MATCH(TipoSuelo,{"Roca","Grava","Suelo mixto","Arcilla"},0))</f>
        <v>293</v>
      </c>
      <c r="R60" s="36" t="n">
        <f aca="false">Q60*IF(AND(C60="BOMAG",L60="SÍ"),MultTecBOMAG,1)</f>
        <v>293</v>
      </c>
      <c r="S60" s="36" t="n">
        <f aca="false">R60*Eficiencia</f>
        <v>293</v>
      </c>
      <c r="T60" s="37" t="n">
        <f aca="false">IF(AND(S60&gt;0,VolumenCompactacion&gt;0),VolumenCompactacion/S60,0)</f>
        <v>0</v>
      </c>
      <c r="U60" s="38" t="n">
        <f aca="false">G60*PrecioDiesel+H60+I60</f>
        <v>17.16</v>
      </c>
      <c r="V60" s="39" t="n">
        <f aca="false">T60*U60</f>
        <v>0</v>
      </c>
      <c r="W60" s="39" t="n">
        <f aca="false">G60*HorasOperacion*PrecioDiesel</f>
        <v>42480</v>
      </c>
      <c r="X60" s="39" t="n">
        <f aca="false">HorasOperacion*(H60+I60)</f>
        <v>9000</v>
      </c>
      <c r="Y60" s="37" t="n">
        <f aca="false">IF(AND(B60="SDR",K60="NO"),HorasOperacion/JuntaIntervalo,0)</f>
        <v>0</v>
      </c>
      <c r="Z60" s="39" t="n">
        <f aca="false">Y60*JuntaHorasIntervencion*(JuntaTecnico+JuntaParada)+Y60*JuntaGrasa</f>
        <v>0</v>
      </c>
      <c r="AA60" s="40" t="n">
        <f aca="false">F60+W60+X60+Z60-J60</f>
        <v>79480</v>
      </c>
      <c r="AB60" s="38" t="n">
        <f aca="false">U60+IF(Y60&gt;0,(JuntaHorasIntervencion*(JuntaTecnico+JuntaParada)+JuntaGrasa)/JuntaIntervalo,0)</f>
        <v>17.16</v>
      </c>
      <c r="AC60" s="38" t="n">
        <f aca="false">IF(HorasOperacion&gt;0,AA60/HorasOperacion,0)</f>
        <v>26.4933333333333</v>
      </c>
      <c r="AD60" s="36" t="n">
        <f aca="false">AA60*TasaMoneda</f>
        <v>79480</v>
      </c>
      <c r="AE60" s="39" t="n">
        <f aca="false">IFERROR(AA60-INDEX($AA$5:$AA$64,MATCH(1,INDEX((B$5:B$64=B60)*(C$5:C$64="BOMAG"),0),0)),0)</f>
        <v>0</v>
      </c>
    </row>
    <row r="61" customFormat="false" ht="15" hidden="false" customHeight="false" outlineLevel="0" collapsed="false">
      <c r="A61" s="12" t="str">
        <f aca="false">B61&amp;" | "&amp;C61&amp;" | "&amp;D61</f>
        <v>HTR | AMMANN | AV110X</v>
      </c>
      <c r="B61" s="26" t="s">
        <v>871</v>
      </c>
      <c r="C61" s="30" t="str">
        <f aca="false">'Datos HTR'!$B$3</f>
        <v>AMMANN</v>
      </c>
      <c r="D61" s="30" t="str">
        <f aca="false">'Datos HTR'!$C$3</f>
        <v>AV110X</v>
      </c>
      <c r="E61" s="31" t="n">
        <f aca="false">'Datos HTR'!$D$3</f>
        <v>10400</v>
      </c>
      <c r="F61" s="32" t="n">
        <f aca="false">'Datos HTR'!$S$3</f>
        <v>28000</v>
      </c>
      <c r="G61" s="33" t="n">
        <f aca="false">'Datos HTR'!$R$3</f>
        <v>11.8</v>
      </c>
      <c r="H61" s="34" t="n">
        <f aca="false">'Datos HTR'!$T$3</f>
        <v>1</v>
      </c>
      <c r="I61" s="34" t="n">
        <f aca="false">'Datos HTR'!$U$3</f>
        <v>2</v>
      </c>
      <c r="J61" s="28" t="n">
        <v>0</v>
      </c>
      <c r="K61" s="26" t="s">
        <v>869</v>
      </c>
      <c r="L61" s="26" t="s">
        <v>869</v>
      </c>
      <c r="M61" s="35" t="n">
        <v>633</v>
      </c>
      <c r="N61" s="35" t="n">
        <v>433</v>
      </c>
      <c r="O61" s="35" t="n">
        <v>387</v>
      </c>
      <c r="P61" s="35" t="n">
        <v>193</v>
      </c>
      <c r="Q61" s="36" t="n">
        <f aca="false">INDEX(M61:P61,MATCH(TipoSuelo,{"Roca","Grava","Suelo mixto","Arcilla"},0))</f>
        <v>387</v>
      </c>
      <c r="R61" s="36" t="n">
        <f aca="false">Q61*IF(AND(C61="BOMAG",L61="SÍ"),MultTecBOMAG,1)</f>
        <v>387</v>
      </c>
      <c r="S61" s="36" t="n">
        <f aca="false">R61*Eficiencia</f>
        <v>387</v>
      </c>
      <c r="T61" s="37" t="n">
        <f aca="false">IF(AND(S61&gt;0,VolumenCompactacion&gt;0),VolumenCompactacion/S61,0)</f>
        <v>0</v>
      </c>
      <c r="U61" s="38" t="n">
        <f aca="false">G61*PrecioDiesel+H61+I61</f>
        <v>17.16</v>
      </c>
      <c r="V61" s="39" t="n">
        <f aca="false">T61*U61</f>
        <v>0</v>
      </c>
      <c r="W61" s="39" t="n">
        <f aca="false">G61*HorasOperacion*PrecioDiesel</f>
        <v>42480</v>
      </c>
      <c r="X61" s="39" t="n">
        <f aca="false">HorasOperacion*(H61+I61)</f>
        <v>9000</v>
      </c>
      <c r="Y61" s="37" t="n">
        <f aca="false">IF(AND(B61="SDR",K61="NO"),HorasOperacion/JuntaIntervalo,0)</f>
        <v>0</v>
      </c>
      <c r="Z61" s="39" t="n">
        <f aca="false">Y61*JuntaHorasIntervencion*(JuntaTecnico+JuntaParada)+Y61*JuntaGrasa</f>
        <v>0</v>
      </c>
      <c r="AA61" s="40" t="n">
        <f aca="false">F61+W61+X61+Z61-J61</f>
        <v>79480</v>
      </c>
      <c r="AB61" s="38" t="n">
        <f aca="false">U61+IF(Y61&gt;0,(JuntaHorasIntervencion*(JuntaTecnico+JuntaParada)+JuntaGrasa)/JuntaIntervalo,0)</f>
        <v>17.16</v>
      </c>
      <c r="AC61" s="38" t="n">
        <f aca="false">IF(HorasOperacion&gt;0,AA61/HorasOperacion,0)</f>
        <v>26.4933333333333</v>
      </c>
      <c r="AD61" s="36" t="n">
        <f aca="false">AA61*TasaMoneda</f>
        <v>79480</v>
      </c>
      <c r="AE61" s="39" t="n">
        <f aca="false">IFERROR(AA61-INDEX($AA$5:$AA$64,MATCH(1,INDEX((B$5:B$64=B61)*(C$5:C$64="BOMAG"),0),0)),0)</f>
        <v>0</v>
      </c>
    </row>
    <row r="62" customFormat="false" ht="15" hidden="false" customHeight="false" outlineLevel="0" collapsed="false">
      <c r="A62" s="12" t="str">
        <f aca="false">B62&amp;" | "&amp;C62&amp;" | "&amp;D62</f>
        <v>HTR | CATERPILLAR | CB10</v>
      </c>
      <c r="B62" s="26" t="s">
        <v>871</v>
      </c>
      <c r="C62" s="30" t="str">
        <f aca="false">'Datos HTR'!$B$4</f>
        <v>CATERPILLAR</v>
      </c>
      <c r="D62" s="30" t="str">
        <f aca="false">'Datos HTR'!$C$4</f>
        <v>CB10</v>
      </c>
      <c r="E62" s="31" t="n">
        <f aca="false">'Datos HTR'!$D$4</f>
        <v>9500</v>
      </c>
      <c r="F62" s="32" t="n">
        <f aca="false">'Datos HTR'!$S$4</f>
        <v>28000</v>
      </c>
      <c r="G62" s="33" t="n">
        <f aca="false">'Datos HTR'!$R$4</f>
        <v>11.8</v>
      </c>
      <c r="H62" s="34" t="n">
        <f aca="false">'Datos HTR'!$T$4</f>
        <v>1</v>
      </c>
      <c r="I62" s="34" t="n">
        <f aca="false">'Datos HTR'!$U$4</f>
        <v>2</v>
      </c>
      <c r="J62" s="28" t="n">
        <v>0</v>
      </c>
      <c r="K62" s="26" t="s">
        <v>869</v>
      </c>
      <c r="L62" s="26" t="s">
        <v>869</v>
      </c>
      <c r="M62" s="35" t="n">
        <v>483</v>
      </c>
      <c r="N62" s="35" t="n">
        <v>283</v>
      </c>
      <c r="O62" s="35" t="n">
        <v>267</v>
      </c>
      <c r="P62" s="35" t="n">
        <v>133</v>
      </c>
      <c r="Q62" s="36" t="n">
        <f aca="false">INDEX(M62:P62,MATCH(TipoSuelo,{"Roca","Grava","Suelo mixto","Arcilla"},0))</f>
        <v>267</v>
      </c>
      <c r="R62" s="36" t="n">
        <f aca="false">Q62*IF(AND(C62="BOMAG",L62="SÍ"),MultTecBOMAG,1)</f>
        <v>267</v>
      </c>
      <c r="S62" s="36" t="n">
        <f aca="false">R62*Eficiencia</f>
        <v>267</v>
      </c>
      <c r="T62" s="37" t="n">
        <f aca="false">IF(AND(S62&gt;0,VolumenCompactacion&gt;0),VolumenCompactacion/S62,0)</f>
        <v>0</v>
      </c>
      <c r="U62" s="38" t="n">
        <f aca="false">G62*PrecioDiesel+H62+I62</f>
        <v>17.16</v>
      </c>
      <c r="V62" s="39" t="n">
        <f aca="false">T62*U62</f>
        <v>0</v>
      </c>
      <c r="W62" s="39" t="n">
        <f aca="false">G62*HorasOperacion*PrecioDiesel</f>
        <v>42480</v>
      </c>
      <c r="X62" s="39" t="n">
        <f aca="false">HorasOperacion*(H62+I62)</f>
        <v>9000</v>
      </c>
      <c r="Y62" s="37" t="n">
        <f aca="false">IF(AND(B62="SDR",K62="NO"),HorasOperacion/JuntaIntervalo,0)</f>
        <v>0</v>
      </c>
      <c r="Z62" s="39" t="n">
        <f aca="false">Y62*JuntaHorasIntervencion*(JuntaTecnico+JuntaParada)+Y62*JuntaGrasa</f>
        <v>0</v>
      </c>
      <c r="AA62" s="40" t="n">
        <f aca="false">F62+W62+X62+Z62-J62</f>
        <v>79480</v>
      </c>
      <c r="AB62" s="38" t="n">
        <f aca="false">U62+IF(Y62&gt;0,(JuntaHorasIntervencion*(JuntaTecnico+JuntaParada)+JuntaGrasa)/JuntaIntervalo,0)</f>
        <v>17.16</v>
      </c>
      <c r="AC62" s="38" t="n">
        <f aca="false">IF(HorasOperacion&gt;0,AA62/HorasOperacion,0)</f>
        <v>26.4933333333333</v>
      </c>
      <c r="AD62" s="36" t="n">
        <f aca="false">AA62*TasaMoneda</f>
        <v>79480</v>
      </c>
      <c r="AE62" s="39" t="n">
        <f aca="false">IFERROR(AA62-INDEX($AA$5:$AA$64,MATCH(1,INDEX((B$5:B$64=B62)*(C$5:C$64="BOMAG"),0),0)),0)</f>
        <v>0</v>
      </c>
    </row>
    <row r="63" customFormat="false" ht="15" hidden="false" customHeight="false" outlineLevel="0" collapsed="false">
      <c r="A63" s="12" t="str">
        <f aca="false">B63&amp;" | "&amp;C63&amp;" | "&amp;D63</f>
        <v>HTR | DYNAPAC | CC4200</v>
      </c>
      <c r="B63" s="26" t="s">
        <v>871</v>
      </c>
      <c r="C63" s="30" t="str">
        <f aca="false">'Datos HTR'!$B$5</f>
        <v>DYNAPAC</v>
      </c>
      <c r="D63" s="30" t="str">
        <f aca="false">'Datos HTR'!$C$5</f>
        <v>CC4200</v>
      </c>
      <c r="E63" s="31" t="n">
        <f aca="false">'Datos HTR'!$D$5</f>
        <v>10400</v>
      </c>
      <c r="F63" s="32" t="n">
        <f aca="false">'Datos HTR'!$S$5</f>
        <v>28000</v>
      </c>
      <c r="G63" s="33" t="n">
        <f aca="false">'Datos HTR'!$R$5</f>
        <v>11.8</v>
      </c>
      <c r="H63" s="34" t="n">
        <f aca="false">'Datos HTR'!$T$5</f>
        <v>1</v>
      </c>
      <c r="I63" s="34" t="n">
        <f aca="false">'Datos HTR'!$U$5</f>
        <v>2</v>
      </c>
      <c r="J63" s="28" t="n">
        <v>0</v>
      </c>
      <c r="K63" s="26" t="s">
        <v>869</v>
      </c>
      <c r="L63" s="26" t="s">
        <v>869</v>
      </c>
      <c r="M63" s="35" t="n">
        <v>633</v>
      </c>
      <c r="N63" s="35" t="n">
        <v>433</v>
      </c>
      <c r="O63" s="35" t="n">
        <v>387</v>
      </c>
      <c r="P63" s="35" t="n">
        <v>193</v>
      </c>
      <c r="Q63" s="36" t="n">
        <f aca="false">INDEX(M63:P63,MATCH(TipoSuelo,{"Roca","Grava","Suelo mixto","Arcilla"},0))</f>
        <v>387</v>
      </c>
      <c r="R63" s="36" t="n">
        <f aca="false">Q63*IF(AND(C63="BOMAG",L63="SÍ"),MultTecBOMAG,1)</f>
        <v>387</v>
      </c>
      <c r="S63" s="36" t="n">
        <f aca="false">R63*Eficiencia</f>
        <v>387</v>
      </c>
      <c r="T63" s="37" t="n">
        <f aca="false">IF(AND(S63&gt;0,VolumenCompactacion&gt;0),VolumenCompactacion/S63,0)</f>
        <v>0</v>
      </c>
      <c r="U63" s="38" t="n">
        <f aca="false">G63*PrecioDiesel+H63+I63</f>
        <v>17.16</v>
      </c>
      <c r="V63" s="39" t="n">
        <f aca="false">T63*U63</f>
        <v>0</v>
      </c>
      <c r="W63" s="39" t="n">
        <f aca="false">G63*HorasOperacion*PrecioDiesel</f>
        <v>42480</v>
      </c>
      <c r="X63" s="39" t="n">
        <f aca="false">HorasOperacion*(H63+I63)</f>
        <v>9000</v>
      </c>
      <c r="Y63" s="37" t="n">
        <f aca="false">IF(AND(B63="SDR",K63="NO"),HorasOperacion/JuntaIntervalo,0)</f>
        <v>0</v>
      </c>
      <c r="Z63" s="39" t="n">
        <f aca="false">Y63*JuntaHorasIntervencion*(JuntaTecnico+JuntaParada)+Y63*JuntaGrasa</f>
        <v>0</v>
      </c>
      <c r="AA63" s="40" t="n">
        <f aca="false">F63+W63+X63+Z63-J63</f>
        <v>79480</v>
      </c>
      <c r="AB63" s="38" t="n">
        <f aca="false">U63+IF(Y63&gt;0,(JuntaHorasIntervencion*(JuntaTecnico+JuntaParada)+JuntaGrasa)/JuntaIntervalo,0)</f>
        <v>17.16</v>
      </c>
      <c r="AC63" s="38" t="n">
        <f aca="false">IF(HorasOperacion&gt;0,AA63/HorasOperacion,0)</f>
        <v>26.4933333333333</v>
      </c>
      <c r="AD63" s="36" t="n">
        <f aca="false">AA63*TasaMoneda</f>
        <v>79480</v>
      </c>
      <c r="AE63" s="39" t="n">
        <f aca="false">IFERROR(AA63-INDEX($AA$5:$AA$64,MATCH(1,INDEX((B$5:B$64=B63)*(C$5:C$64="BOMAG"),0),0)),0)</f>
        <v>0</v>
      </c>
    </row>
    <row r="64" customFormat="false" ht="15" hidden="false" customHeight="false" outlineLevel="0" collapsed="false">
      <c r="A64" s="12" t="str">
        <f aca="false">B64&amp;" | "&amp;C64&amp;" | "&amp;D64</f>
        <v>HTR | HAMM | HD90 VV</v>
      </c>
      <c r="B64" s="26" t="s">
        <v>871</v>
      </c>
      <c r="C64" s="30" t="str">
        <f aca="false">'Datos HTR'!$B$6</f>
        <v>HAMM</v>
      </c>
      <c r="D64" s="30" t="str">
        <f aca="false">'Datos HTR'!$C$6</f>
        <v>HD90 VV</v>
      </c>
      <c r="E64" s="31" t="n">
        <f aca="false">'Datos HTR'!$D$6</f>
        <v>9190</v>
      </c>
      <c r="F64" s="32" t="n">
        <f aca="false">'Datos HTR'!$S$6</f>
        <v>28000</v>
      </c>
      <c r="G64" s="33" t="n">
        <f aca="false">'Datos HTR'!$R$6</f>
        <v>11.8</v>
      </c>
      <c r="H64" s="34" t="n">
        <f aca="false">'Datos HTR'!$T$6</f>
        <v>1</v>
      </c>
      <c r="I64" s="34" t="n">
        <f aca="false">'Datos HTR'!$U$6</f>
        <v>2</v>
      </c>
      <c r="J64" s="28" t="n">
        <v>0</v>
      </c>
      <c r="K64" s="26" t="s">
        <v>869</v>
      </c>
      <c r="L64" s="26" t="s">
        <v>869</v>
      </c>
      <c r="M64" s="35" t="n">
        <v>432</v>
      </c>
      <c r="N64" s="35" t="n">
        <v>232</v>
      </c>
      <c r="O64" s="35" t="n">
        <v>225</v>
      </c>
      <c r="P64" s="35" t="n">
        <v>113</v>
      </c>
      <c r="Q64" s="36" t="n">
        <f aca="false">INDEX(M64:P64,MATCH(TipoSuelo,{"Roca","Grava","Suelo mixto","Arcilla"},0))</f>
        <v>225</v>
      </c>
      <c r="R64" s="36" t="n">
        <f aca="false">Q64*IF(AND(C64="BOMAG",L64="SÍ"),MultTecBOMAG,1)</f>
        <v>225</v>
      </c>
      <c r="S64" s="36" t="n">
        <f aca="false">R64*Eficiencia</f>
        <v>225</v>
      </c>
      <c r="T64" s="37" t="n">
        <f aca="false">IF(AND(S64&gt;0,VolumenCompactacion&gt;0),VolumenCompactacion/S64,0)</f>
        <v>0</v>
      </c>
      <c r="U64" s="38" t="n">
        <f aca="false">G64*PrecioDiesel+H64+I64</f>
        <v>17.16</v>
      </c>
      <c r="V64" s="39" t="n">
        <f aca="false">T64*U64</f>
        <v>0</v>
      </c>
      <c r="W64" s="39" t="n">
        <f aca="false">G64*HorasOperacion*PrecioDiesel</f>
        <v>42480</v>
      </c>
      <c r="X64" s="39" t="n">
        <f aca="false">HorasOperacion*(H64+I64)</f>
        <v>9000</v>
      </c>
      <c r="Y64" s="37" t="n">
        <f aca="false">IF(AND(B64="SDR",K64="NO"),HorasOperacion/JuntaIntervalo,0)</f>
        <v>0</v>
      </c>
      <c r="Z64" s="39" t="n">
        <f aca="false">Y64*JuntaHorasIntervencion*(JuntaTecnico+JuntaParada)+Y64*JuntaGrasa</f>
        <v>0</v>
      </c>
      <c r="AA64" s="40" t="n">
        <f aca="false">F64+W64+X64+Z64-J64</f>
        <v>79480</v>
      </c>
      <c r="AB64" s="38" t="n">
        <f aca="false">U64+IF(Y64&gt;0,(JuntaHorasIntervencion*(JuntaTecnico+JuntaParada)+JuntaGrasa)/JuntaIntervalo,0)</f>
        <v>17.16</v>
      </c>
      <c r="AC64" s="38" t="n">
        <f aca="false">IF(HorasOperacion&gt;0,AA64/HorasOperacion,0)</f>
        <v>26.4933333333333</v>
      </c>
      <c r="AD64" s="36" t="n">
        <f aca="false">AA64*TasaMoneda</f>
        <v>79480</v>
      </c>
      <c r="AE64" s="39" t="n">
        <f aca="false">IFERROR(AA64-INDEX($AA$5:$AA$64,MATCH(1,INDEX((B$5:B$64=B64)*(C$5:C$64="BOMAG"),0),0)),0)</f>
        <v>0</v>
      </c>
    </row>
  </sheetData>
  <autoFilter ref="A4:AE64"/>
  <dataValidations count="2">
    <dataValidation allowBlank="false" errorStyle="stop" operator="between" showDropDown="false" showErrorMessage="false" showInputMessage="false" sqref="K5:K64" type="list">
      <formula1>"SÍ,NO,N/A"</formula1>
      <formula2>0</formula2>
    </dataValidation>
    <dataValidation allowBlank="false" errorStyle="stop" operator="between" showDropDown="false" showErrorMessage="false" showInputMessage="false" sqref="L5:L64" type="list">
      <formula1>"SÍ,NO,N/A"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7" min="6" style="0" width="12"/>
    <col collapsed="false" customWidth="true" hidden="false" outlineLevel="0" max="9" min="8" style="0" width="9"/>
    <col collapsed="false" customWidth="true" hidden="false" outlineLevel="0" max="11" min="10" style="0" width="11"/>
    <col collapsed="false" customWidth="true" hidden="false" outlineLevel="0" max="15" min="12" style="0" width="12"/>
    <col collapsed="false" customWidth="true" hidden="false" outlineLevel="0" max="16" min="16" style="0" width="11"/>
    <col collapsed="false" customWidth="true" hidden="false" outlineLevel="0" max="17" min="17" style="0" width="10"/>
    <col collapsed="false" customWidth="true" hidden="false" outlineLevel="0" max="18" min="18" style="0" width="9"/>
    <col collapsed="false" customWidth="true" hidden="false" outlineLevel="0" max="19" min="19" style="0" width="11"/>
    <col collapsed="false" customWidth="true" hidden="false" outlineLevel="0" max="22" min="20" style="0" width="13"/>
    <col collapsed="false" customWidth="true" hidden="false" outlineLevel="0" max="23" min="23" style="0" width="12"/>
    <col collapsed="false" customWidth="true" hidden="false" outlineLevel="0" max="24" min="24" style="0" width="14"/>
    <col collapsed="false" customWidth="true" hidden="false" outlineLevel="0" max="26" min="25" style="0" width="12"/>
    <col collapsed="false" customWidth="true" hidden="false" outlineLevel="0" max="27" min="27" style="0" width="15"/>
    <col collapsed="false" customWidth="true" hidden="false" outlineLevel="0" max="28" min="28" style="0" width="14"/>
  </cols>
  <sheetData>
    <row r="1" customFormat="false" ht="17.35" hidden="false" customHeight="false" outlineLevel="0" collapsed="false">
      <c r="A1" s="1" t="s">
        <v>872</v>
      </c>
    </row>
    <row r="3" customFormat="false" ht="45" hidden="false" customHeight="true" outlineLevel="0" collapsed="false">
      <c r="A3" s="9" t="s">
        <v>136</v>
      </c>
      <c r="B3" s="9" t="s">
        <v>137</v>
      </c>
      <c r="C3" s="9" t="s">
        <v>138</v>
      </c>
      <c r="D3" s="9" t="s">
        <v>844</v>
      </c>
      <c r="E3" s="9" t="s">
        <v>845</v>
      </c>
      <c r="F3" s="9" t="s">
        <v>873</v>
      </c>
      <c r="G3" s="9" t="s">
        <v>874</v>
      </c>
      <c r="H3" s="9" t="s">
        <v>875</v>
      </c>
      <c r="I3" s="9" t="s">
        <v>876</v>
      </c>
      <c r="J3" s="9" t="s">
        <v>877</v>
      </c>
      <c r="K3" s="9" t="s">
        <v>878</v>
      </c>
      <c r="L3" s="9" t="s">
        <v>879</v>
      </c>
      <c r="M3" s="9" t="s">
        <v>880</v>
      </c>
      <c r="N3" s="9" t="s">
        <v>881</v>
      </c>
      <c r="O3" s="9" t="s">
        <v>882</v>
      </c>
      <c r="P3" s="9" t="s">
        <v>544</v>
      </c>
      <c r="Q3" s="9" t="s">
        <v>883</v>
      </c>
      <c r="R3" s="9" t="s">
        <v>546</v>
      </c>
      <c r="S3" s="9" t="s">
        <v>856</v>
      </c>
      <c r="T3" s="9" t="s">
        <v>859</v>
      </c>
      <c r="U3" s="9" t="s">
        <v>860</v>
      </c>
      <c r="V3" s="9" t="s">
        <v>884</v>
      </c>
      <c r="W3" s="9" t="s">
        <v>846</v>
      </c>
      <c r="X3" s="9" t="s">
        <v>863</v>
      </c>
      <c r="Y3" s="9" t="s">
        <v>864</v>
      </c>
      <c r="Z3" s="9" t="s">
        <v>865</v>
      </c>
      <c r="AA3" s="9" t="s">
        <v>866</v>
      </c>
      <c r="AB3" s="9" t="s">
        <v>885</v>
      </c>
    </row>
    <row r="4" customFormat="false" ht="15" hidden="false" customHeight="false" outlineLevel="0" collapsed="false">
      <c r="A4" s="12" t="str">
        <f aca="false">B4&amp;" | "&amp;C4</f>
        <v>BOMAG | BM 1000/20</v>
      </c>
      <c r="B4" s="30" t="str">
        <f aca="false">'Datos Fresadoras'!$B$2</f>
        <v>BOMAG</v>
      </c>
      <c r="C4" s="30" t="str">
        <f aca="false">'Datos Fresadoras'!$C$2</f>
        <v>BM 1000/20</v>
      </c>
      <c r="D4" s="32" t="n">
        <f aca="false">'Datos Fresadoras'!$X$2</f>
        <v>0</v>
      </c>
      <c r="E4" s="33" t="n">
        <f aca="false">'Datos Fresadoras'!$Y$2</f>
        <v>16</v>
      </c>
      <c r="F4" s="34" t="n">
        <f aca="false">'Datos Fresadoras'!$Z$2</f>
        <v>12</v>
      </c>
      <c r="G4" s="34" t="n">
        <f aca="false">'Datos Fresadoras'!$AA$2</f>
        <v>8</v>
      </c>
      <c r="H4" s="26" t="s">
        <v>570</v>
      </c>
      <c r="I4" s="26" t="s">
        <v>570</v>
      </c>
      <c r="J4" s="41" t="n">
        <v>0.2</v>
      </c>
      <c r="K4" s="42" t="n">
        <f aca="false">IF(AND(H4="SÍ",I4="SÍ"),1-J4,1)</f>
        <v>0.8</v>
      </c>
      <c r="L4" s="38" t="n">
        <f aca="false">F4*K4</f>
        <v>9.6</v>
      </c>
      <c r="M4" s="38" t="n">
        <f aca="false">G4*K4</f>
        <v>6.4</v>
      </c>
      <c r="N4" s="34" t="n">
        <f aca="false">'Datos Fresadoras'!$AI$2</f>
        <v>15</v>
      </c>
      <c r="O4" s="38" t="n">
        <f aca="false">N4*K4</f>
        <v>12</v>
      </c>
      <c r="P4" s="35" t="n">
        <v>92</v>
      </c>
      <c r="Q4" s="35" t="n">
        <v>40</v>
      </c>
      <c r="R4" s="29" t="n">
        <v>0.38</v>
      </c>
      <c r="S4" s="37" t="n">
        <f aca="false">IF(AND(VolumenFresado&gt;0,P4&gt;0),VolumenFresado/P4,0)</f>
        <v>0</v>
      </c>
      <c r="T4" s="39" t="n">
        <f aca="false">E4*HorasOperacion*PrecioDiesel</f>
        <v>57600</v>
      </c>
      <c r="U4" s="39" t="n">
        <f aca="false">HorasOperacion*(L4+M4)</f>
        <v>48000</v>
      </c>
      <c r="V4" s="39" t="n">
        <f aca="false">O4*HorasOperacion</f>
        <v>36000</v>
      </c>
      <c r="W4" s="28" t="n">
        <v>0</v>
      </c>
      <c r="X4" s="40" t="n">
        <f aca="false">D4+T4+U4+V4-W4</f>
        <v>141600</v>
      </c>
      <c r="Y4" s="38" t="n">
        <f aca="false">E4*PrecioDiesel+L4+M4+O4</f>
        <v>47.2</v>
      </c>
      <c r="Z4" s="38" t="n">
        <f aca="false">IF(HorasOperacion&gt;0,X4/HorasOperacion,0)</f>
        <v>47.2</v>
      </c>
      <c r="AA4" s="36" t="n">
        <f aca="false">X4*TasaMoneda</f>
        <v>141600</v>
      </c>
      <c r="AB4" s="39" t="n">
        <f aca="false">IFERROR(X4-INDEX($X$4:$X$6,MATCH("BOMAG",$B$4:$B$6,0)),0)</f>
        <v>0</v>
      </c>
    </row>
    <row r="5" customFormat="false" ht="15" hidden="false" customHeight="false" outlineLevel="0" collapsed="false">
      <c r="A5" s="12" t="str">
        <f aca="false">B5&amp;" | "&amp;C5</f>
        <v>SANY | SCM1000C-8</v>
      </c>
      <c r="B5" s="30" t="str">
        <f aca="false">'Datos Fresadoras'!$B$3</f>
        <v>SANY</v>
      </c>
      <c r="C5" s="30" t="str">
        <f aca="false">'Datos Fresadoras'!$C$3</f>
        <v>SCM1000C-8</v>
      </c>
      <c r="D5" s="32" t="n">
        <f aca="false">'Datos Fresadoras'!$X$3</f>
        <v>0</v>
      </c>
      <c r="E5" s="33" t="n">
        <f aca="false">'Datos Fresadoras'!$Y$3</f>
        <v>22</v>
      </c>
      <c r="F5" s="34" t="n">
        <f aca="false">'Datos Fresadoras'!$Z$3</f>
        <v>10</v>
      </c>
      <c r="G5" s="34" t="n">
        <f aca="false">'Datos Fresadoras'!$AA$3</f>
        <v>10</v>
      </c>
      <c r="H5" s="26" t="s">
        <v>588</v>
      </c>
      <c r="I5" s="26" t="s">
        <v>570</v>
      </c>
      <c r="J5" s="43" t="n">
        <f aca="false">ReduccionBMS15L</f>
        <v>0.2</v>
      </c>
      <c r="K5" s="42" t="n">
        <f aca="false">IF(AND(H5="SÍ",I5="SÍ"),1-J5,1)</f>
        <v>1</v>
      </c>
      <c r="L5" s="38" t="n">
        <f aca="false">F5*K5</f>
        <v>10</v>
      </c>
      <c r="M5" s="38" t="n">
        <f aca="false">G5*K5</f>
        <v>10</v>
      </c>
      <c r="N5" s="34" t="n">
        <f aca="false">'Datos Fresadoras'!$AI$3</f>
        <v>20</v>
      </c>
      <c r="O5" s="38" t="n">
        <f aca="false">N5*K5</f>
        <v>20</v>
      </c>
      <c r="P5" s="35" t="n">
        <v>0</v>
      </c>
      <c r="Q5" s="35" t="n">
        <v>35</v>
      </c>
      <c r="R5" s="29" t="n">
        <v>1.2</v>
      </c>
      <c r="S5" s="37" t="n">
        <f aca="false">IF(AND(VolumenFresado&gt;0,P5&gt;0),VolumenFresado/P5,0)</f>
        <v>0</v>
      </c>
      <c r="T5" s="39" t="n">
        <f aca="false">E5*HorasOperacion*PrecioDiesel</f>
        <v>79200</v>
      </c>
      <c r="U5" s="39" t="n">
        <f aca="false">HorasOperacion*(L5+M5)</f>
        <v>60000</v>
      </c>
      <c r="V5" s="39" t="n">
        <f aca="false">O5*HorasOperacion</f>
        <v>60000</v>
      </c>
      <c r="W5" s="28" t="n">
        <v>0</v>
      </c>
      <c r="X5" s="40" t="n">
        <f aca="false">D5+T5+U5+V5-W5</f>
        <v>199200</v>
      </c>
      <c r="Y5" s="38" t="n">
        <f aca="false">E5*PrecioDiesel+L5+M5+O5</f>
        <v>66.4</v>
      </c>
      <c r="Z5" s="38" t="n">
        <f aca="false">IF(HorasOperacion&gt;0,X5/HorasOperacion,0)</f>
        <v>66.4</v>
      </c>
      <c r="AA5" s="36" t="n">
        <f aca="false">X5*TasaMoneda</f>
        <v>199200</v>
      </c>
      <c r="AB5" s="39" t="n">
        <f aca="false">IFERROR(X5-INDEX($X$4:$X$6,MATCH("BOMAG",$B$4:$B$6,0)),0)</f>
        <v>57600</v>
      </c>
    </row>
    <row r="6" customFormat="false" ht="15" hidden="false" customHeight="false" outlineLevel="0" collapsed="false">
      <c r="A6" s="12" t="str">
        <f aca="false">B6&amp;" | "&amp;C6</f>
        <v>XCMG | XM1005H</v>
      </c>
      <c r="B6" s="30" t="str">
        <f aca="false">'Datos Fresadoras'!$B$4</f>
        <v>XCMG</v>
      </c>
      <c r="C6" s="30" t="str">
        <f aca="false">'Datos Fresadoras'!$C$4</f>
        <v>XM1005H</v>
      </c>
      <c r="D6" s="32" t="n">
        <f aca="false">'Datos Fresadoras'!$X$4</f>
        <v>0</v>
      </c>
      <c r="E6" s="33" t="n">
        <f aca="false">'Datos Fresadoras'!$Y$4</f>
        <v>18</v>
      </c>
      <c r="F6" s="34" t="n">
        <f aca="false">'Datos Fresadoras'!$Z$4</f>
        <v>10</v>
      </c>
      <c r="G6" s="34" t="n">
        <f aca="false">'Datos Fresadoras'!$AA$4</f>
        <v>8</v>
      </c>
      <c r="H6" s="26" t="s">
        <v>588</v>
      </c>
      <c r="I6" s="26" t="s">
        <v>570</v>
      </c>
      <c r="J6" s="43" t="n">
        <f aca="false">ReduccionBMS15L</f>
        <v>0.2</v>
      </c>
      <c r="K6" s="42" t="n">
        <f aca="false">IF(AND(H6="SÍ",I6="SÍ"),1-J6,1)</f>
        <v>1</v>
      </c>
      <c r="L6" s="38" t="n">
        <f aca="false">F6*K6</f>
        <v>10</v>
      </c>
      <c r="M6" s="38" t="n">
        <f aca="false">G6*K6</f>
        <v>8</v>
      </c>
      <c r="N6" s="34" t="n">
        <f aca="false">'Datos Fresadoras'!$AI$4</f>
        <v>17</v>
      </c>
      <c r="O6" s="38" t="n">
        <f aca="false">N6*K6</f>
        <v>17</v>
      </c>
      <c r="P6" s="35" t="n">
        <v>84</v>
      </c>
      <c r="Q6" s="35" t="n">
        <v>50</v>
      </c>
      <c r="R6" s="29" t="s">
        <v>597</v>
      </c>
      <c r="S6" s="37" t="n">
        <f aca="false">IF(AND(VolumenFresado&gt;0,P6&gt;0),VolumenFresado/P6,0)</f>
        <v>0</v>
      </c>
      <c r="T6" s="39" t="n">
        <f aca="false">E6*HorasOperacion*PrecioDiesel</f>
        <v>64800</v>
      </c>
      <c r="U6" s="39" t="n">
        <f aca="false">HorasOperacion*(L6+M6)</f>
        <v>54000</v>
      </c>
      <c r="V6" s="39" t="n">
        <f aca="false">O6*HorasOperacion</f>
        <v>51000</v>
      </c>
      <c r="W6" s="28" t="n">
        <v>0</v>
      </c>
      <c r="X6" s="40" t="n">
        <f aca="false">D6+T6+U6+V6-W6</f>
        <v>169800</v>
      </c>
      <c r="Y6" s="38" t="n">
        <f aca="false">E6*PrecioDiesel+L6+M6+O6</f>
        <v>56.6</v>
      </c>
      <c r="Z6" s="38" t="n">
        <f aca="false">IF(HorasOperacion&gt;0,X6/HorasOperacion,0)</f>
        <v>56.6</v>
      </c>
      <c r="AA6" s="36" t="n">
        <f aca="false">X6*TasaMoneda</f>
        <v>169800</v>
      </c>
      <c r="AB6" s="39" t="n">
        <f aca="false">IFERROR(X6-INDEX($X$4:$X$6,MATCH("BOMAG",$B$4:$B$6,0)),0)</f>
        <v>28200</v>
      </c>
    </row>
  </sheetData>
  <dataValidations count="1">
    <dataValidation allowBlank="false" errorStyle="stop" operator="between" showDropDown="false" showErrorMessage="false" showInputMessage="false" sqref="H4:I6"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16"/>
    <col collapsed="false" customWidth="true" hidden="false" outlineLevel="0" max="4" min="4" style="0" width="13"/>
    <col collapsed="false" customWidth="true" hidden="false" outlineLevel="0" max="5" min="5" style="0" width="10"/>
    <col collapsed="false" customWidth="true" hidden="false" outlineLevel="0" max="6" min="6" style="0" width="16"/>
    <col collapsed="false" customWidth="true" hidden="false" outlineLevel="0" max="9" min="7" style="0" width="9"/>
    <col collapsed="false" customWidth="true" hidden="false" outlineLevel="0" max="10" min="10" style="0" width="10"/>
    <col collapsed="false" customWidth="true" hidden="false" outlineLevel="0" max="12" min="11" style="0" width="11"/>
    <col collapsed="false" customWidth="true" hidden="false" outlineLevel="0" max="14" min="13" style="0" width="9"/>
    <col collapsed="false" customWidth="true" hidden="false" outlineLevel="0" max="16" min="15" style="0" width="11"/>
    <col collapsed="false" customWidth="true" hidden="false" outlineLevel="0" max="18" min="17" style="0" width="10"/>
    <col collapsed="false" customWidth="true" hidden="false" outlineLevel="0" max="19" min="19" style="0" width="12"/>
    <col collapsed="false" customWidth="true" hidden="false" outlineLevel="0" max="22" min="20" style="0" width="11"/>
    <col collapsed="false" customWidth="true" hidden="false" outlineLevel="0" max="26" min="23" style="0" width="13"/>
    <col collapsed="false" customWidth="true" hidden="false" outlineLevel="0" max="27" min="27" style="0" width="12"/>
    <col collapsed="false" customWidth="true" hidden="false" outlineLevel="0" max="28" min="28" style="0" width="14"/>
    <col collapsed="false" customWidth="true" hidden="false" outlineLevel="0" max="30" min="29" style="0" width="12"/>
    <col collapsed="false" customWidth="true" hidden="false" outlineLevel="0" max="31" min="31" style="0" width="15"/>
    <col collapsed="false" customWidth="true" hidden="false" outlineLevel="0" max="32" min="32" style="0" width="14"/>
  </cols>
  <sheetData>
    <row r="1" customFormat="false" ht="17.35" hidden="false" customHeight="false" outlineLevel="0" collapsed="false">
      <c r="A1" s="1" t="s">
        <v>886</v>
      </c>
    </row>
    <row r="2" customFormat="false" ht="15" hidden="false" customHeight="false" outlineLevel="0" collapsed="false">
      <c r="A2" s="2" t="s">
        <v>887</v>
      </c>
    </row>
    <row r="4" customFormat="false" ht="45" hidden="false" customHeight="true" outlineLevel="0" collapsed="false">
      <c r="A4" s="9" t="s">
        <v>136</v>
      </c>
      <c r="B4" s="9" t="s">
        <v>137</v>
      </c>
      <c r="C4" s="9" t="s">
        <v>138</v>
      </c>
      <c r="D4" s="9" t="s">
        <v>844</v>
      </c>
      <c r="E4" s="9" t="s">
        <v>888</v>
      </c>
      <c r="F4" s="9" t="s">
        <v>889</v>
      </c>
      <c r="G4" s="9" t="s">
        <v>890</v>
      </c>
      <c r="H4" s="9" t="s">
        <v>891</v>
      </c>
      <c r="I4" s="9" t="s">
        <v>892</v>
      </c>
      <c r="J4" s="9" t="s">
        <v>893</v>
      </c>
      <c r="K4" s="9" t="s">
        <v>162</v>
      </c>
      <c r="L4" s="9" t="s">
        <v>163</v>
      </c>
      <c r="M4" s="9" t="s">
        <v>894</v>
      </c>
      <c r="N4" s="9" t="s">
        <v>895</v>
      </c>
      <c r="O4" s="9" t="s">
        <v>896</v>
      </c>
      <c r="P4" s="9" t="s">
        <v>897</v>
      </c>
      <c r="Q4" s="9" t="s">
        <v>898</v>
      </c>
      <c r="R4" s="9" t="s">
        <v>899</v>
      </c>
      <c r="S4" s="9" t="s">
        <v>900</v>
      </c>
      <c r="T4" s="9" t="s">
        <v>901</v>
      </c>
      <c r="U4" s="9" t="s">
        <v>902</v>
      </c>
      <c r="V4" s="9" t="s">
        <v>903</v>
      </c>
      <c r="W4" s="9" t="s">
        <v>859</v>
      </c>
      <c r="X4" s="9" t="s">
        <v>860</v>
      </c>
      <c r="Y4" s="9" t="s">
        <v>904</v>
      </c>
      <c r="Z4" s="9" t="s">
        <v>905</v>
      </c>
      <c r="AA4" s="9" t="s">
        <v>846</v>
      </c>
      <c r="AB4" s="9" t="s">
        <v>863</v>
      </c>
      <c r="AC4" s="9" t="s">
        <v>864</v>
      </c>
      <c r="AD4" s="9" t="s">
        <v>865</v>
      </c>
      <c r="AE4" s="9" t="s">
        <v>866</v>
      </c>
      <c r="AF4" s="9" t="s">
        <v>885</v>
      </c>
    </row>
    <row r="5" customFormat="false" ht="15" hidden="false" customHeight="false" outlineLevel="0" collapsed="false">
      <c r="A5" s="12" t="str">
        <f aca="false">B5&amp;" | "&amp;C5</f>
        <v>CATERPILLAR | AP655</v>
      </c>
      <c r="B5" s="30" t="str">
        <f aca="false">'Datos Pavimentadoras'!$B$2</f>
        <v>CATERPILLAR</v>
      </c>
      <c r="C5" s="30" t="str">
        <f aca="false">'Datos Pavimentadoras'!$C$2</f>
        <v>AP655</v>
      </c>
      <c r="D5" s="28" t="n">
        <v>0</v>
      </c>
      <c r="E5" s="29" t="n">
        <v>14.0769</v>
      </c>
      <c r="F5" s="30" t="str">
        <f aca="false">'Datos Pavimentadoras'!$G$2</f>
        <v>Eco-mode + control auto rpm</v>
      </c>
      <c r="G5" s="26" t="s">
        <v>588</v>
      </c>
      <c r="H5" s="26" t="s">
        <v>588</v>
      </c>
      <c r="I5" s="42" t="n">
        <f aca="false">IF(H5="NO",1,IF(G5="SÍ",1-AhorroECOMODE,IF(ISNUMBER(SEARCH("ecoplus",F5)),FactorEcoPlus,IF(ISNUMBER(SEARCH("variospeed",F5)),FactorVarioSpeed,IF(ISNUMBER(SEARCH("eco-mode",F5)),FactorEcoMode,IF(ISNUMBER(SEARCH("eco mode",F5)),FactorEcoMode,1))))))</f>
        <v>1</v>
      </c>
      <c r="J5" s="44" t="n">
        <f aca="false">E5*I5</f>
        <v>14.0769</v>
      </c>
      <c r="K5" s="45" t="n">
        <v>10</v>
      </c>
      <c r="L5" s="45" t="n">
        <v>6</v>
      </c>
      <c r="M5" s="26" t="s">
        <v>588</v>
      </c>
      <c r="N5" s="26" t="s">
        <v>570</v>
      </c>
      <c r="O5" s="46" t="n">
        <v>10.5</v>
      </c>
      <c r="P5" s="37" t="n">
        <f aca="false">IF(AND(M5="SÍ",N5="SÍ"),IF(O5&gt;0,O5,SetupMagmaL),IF(M5="SÍ",SetupCompetidorL,IF(O5&gt;0,O5,SetupCompetidorL)))</f>
        <v>10.5</v>
      </c>
      <c r="Q5" s="35" t="n">
        <v>60</v>
      </c>
      <c r="R5" s="36" t="n">
        <f aca="false">IF(AND(M5="SÍ",N5="NO"),HorasCalentamientoComp,IF(Q5&gt;0,Q5,HorasCalentamientoComp))</f>
        <v>60</v>
      </c>
      <c r="S5" s="47" t="n">
        <v>24000</v>
      </c>
      <c r="T5" s="38" t="n">
        <f aca="false">S5*EURUSD/(3*HorasAnioPaver)</f>
        <v>8.64</v>
      </c>
      <c r="U5" s="38" t="n">
        <f aca="false">Desgaste3aCompEUR*EURUSD/(3*HorasAnioPaver)</f>
        <v>8.64</v>
      </c>
      <c r="V5" s="38" t="n">
        <f aca="false">IF(AND(M5="SÍ",N5="SÍ"),T5,IF(M5="SÍ",U5,IF(T5&gt;0,T5,U5)))</f>
        <v>8.64</v>
      </c>
      <c r="W5" s="39" t="n">
        <f aca="false">J5*HorasOperacion*PrecioDiesel</f>
        <v>50676.84</v>
      </c>
      <c r="X5" s="39" t="n">
        <f aca="false">HorasOperacion*(K5+L5)</f>
        <v>48000</v>
      </c>
      <c r="Y5" s="39" t="n">
        <f aca="false">HorasOperacion/HorasTurno*P5*PrecioDiesel</f>
        <v>3780</v>
      </c>
      <c r="Z5" s="39" t="n">
        <f aca="false">V5*HorasOperacion</f>
        <v>25920</v>
      </c>
      <c r="AA5" s="28" t="n">
        <v>0</v>
      </c>
      <c r="AB5" s="40" t="n">
        <f aca="false">D5+W5+X5+Y5+Z5-AA5</f>
        <v>128376.84</v>
      </c>
      <c r="AC5" s="38" t="n">
        <f aca="false">J5*PrecioDiesel+K5+L5+P5/HorasTurno*PrecioDiesel+V5</f>
        <v>42.79228</v>
      </c>
      <c r="AD5" s="38" t="n">
        <f aca="false">IF(HorasOperacion&gt;0,AB5/HorasOperacion,0)</f>
        <v>42.79228</v>
      </c>
      <c r="AE5" s="36" t="n">
        <f aca="false">AB5*TasaMoneda</f>
        <v>128376.84</v>
      </c>
      <c r="AF5" s="39" t="n">
        <f aca="false">IFERROR(AB5-INDEX($AB$5:$AB$8,MATCH("BOMAG",$B$5:$B$8,0)),0)</f>
        <v>55883.64</v>
      </c>
    </row>
    <row r="6" customFormat="false" ht="15" hidden="false" customHeight="false" outlineLevel="0" collapsed="false">
      <c r="A6" s="12" t="str">
        <f aca="false">B6&amp;" | "&amp;C6</f>
        <v>BOMAG | BF600 C-3</v>
      </c>
      <c r="B6" s="30" t="str">
        <f aca="false">'Datos Pavimentadoras'!$B$3</f>
        <v>BOMAG</v>
      </c>
      <c r="C6" s="30" t="str">
        <f aca="false">'Datos Pavimentadoras'!$C$3</f>
        <v>BF600 C-3</v>
      </c>
      <c r="D6" s="28" t="n">
        <v>0</v>
      </c>
      <c r="E6" s="29" t="n">
        <v>8.9</v>
      </c>
      <c r="F6" s="30" t="str">
        <f aca="false">'Datos Pavimentadoras'!$G$3</f>
        <v>ECOMODE</v>
      </c>
      <c r="G6" s="26" t="s">
        <v>570</v>
      </c>
      <c r="H6" s="26" t="s">
        <v>570</v>
      </c>
      <c r="I6" s="42" t="n">
        <f aca="false">IF(H6="NO",1,IF(G6="SÍ",1-AhorroECOMODE,IF(ISNUMBER(SEARCH("ecoplus",F6)),FactorEcoPlus,IF(ISNUMBER(SEARCH("variospeed",F6)),FactorVarioSpeed,IF(ISNUMBER(SEARCH("eco-mode",F6)),FactorEcoMode,IF(ISNUMBER(SEARCH("eco mode",F6)),FactorEcoMode,1))))))</f>
        <v>0.83</v>
      </c>
      <c r="J6" s="44" t="n">
        <f aca="false">E6*I6</f>
        <v>7.387</v>
      </c>
      <c r="K6" s="45" t="n">
        <v>8</v>
      </c>
      <c r="L6" s="45" t="n">
        <v>4</v>
      </c>
      <c r="M6" s="26" t="s">
        <v>570</v>
      </c>
      <c r="N6" s="26" t="s">
        <v>570</v>
      </c>
      <c r="O6" s="46" t="n">
        <v>3.5</v>
      </c>
      <c r="P6" s="37" t="n">
        <f aca="false">IF(AND(M6="SÍ",N6="SÍ"),IF(O6&gt;0,O6,SetupMagmaL),IF(M6="SÍ",SetupCompetidorL,IF(O6&gt;0,O6,SetupCompetidorL)))</f>
        <v>3.5</v>
      </c>
      <c r="Q6" s="35" t="n">
        <v>30</v>
      </c>
      <c r="R6" s="36" t="n">
        <f aca="false">IF(AND(M6="SÍ",N6="NO"),HorasCalentamientoComp,IF(Q6&gt;0,Q6,HorasCalentamientoComp))</f>
        <v>30</v>
      </c>
      <c r="S6" s="47" t="n">
        <v>8000</v>
      </c>
      <c r="T6" s="38" t="n">
        <f aca="false">S6*EURUSD/(3*HorasAnioPaver)</f>
        <v>2.88</v>
      </c>
      <c r="U6" s="38" t="n">
        <f aca="false">Desgaste3aCompEUR*EURUSD/(3*HorasAnioPaver)</f>
        <v>8.64</v>
      </c>
      <c r="V6" s="38" t="n">
        <f aca="false">IF(AND(M6="SÍ",N6="SÍ"),T6,IF(M6="SÍ",U6,IF(T6&gt;0,T6,U6)))</f>
        <v>2.88</v>
      </c>
      <c r="W6" s="39" t="n">
        <f aca="false">J6*HorasOperacion*PrecioDiesel</f>
        <v>26593.2</v>
      </c>
      <c r="X6" s="39" t="n">
        <f aca="false">HorasOperacion*(K6+L6)</f>
        <v>36000</v>
      </c>
      <c r="Y6" s="39" t="n">
        <f aca="false">HorasOperacion/HorasTurno*P6*PrecioDiesel</f>
        <v>1260</v>
      </c>
      <c r="Z6" s="39" t="n">
        <f aca="false">V6*HorasOperacion</f>
        <v>8640</v>
      </c>
      <c r="AA6" s="28" t="n">
        <v>0</v>
      </c>
      <c r="AB6" s="40" t="n">
        <f aca="false">D6+W6+X6+Y6+Z6-AA6</f>
        <v>72493.2</v>
      </c>
      <c r="AC6" s="38" t="n">
        <f aca="false">J6*PrecioDiesel+K6+L6+P6/HorasTurno*PrecioDiesel+V6</f>
        <v>24.1644</v>
      </c>
      <c r="AD6" s="38" t="n">
        <f aca="false">IF(HorasOperacion&gt;0,AB6/HorasOperacion,0)</f>
        <v>24.1644</v>
      </c>
      <c r="AE6" s="36" t="n">
        <f aca="false">AB6*TasaMoneda</f>
        <v>72493.2</v>
      </c>
      <c r="AF6" s="39" t="n">
        <f aca="false">IFERROR(AB6-INDEX($AB$5:$AB$8,MATCH("BOMAG",$B$5:$B$8,0)),0)</f>
        <v>0</v>
      </c>
    </row>
    <row r="7" customFormat="false" ht="15" hidden="false" customHeight="false" outlineLevel="0" collapsed="false">
      <c r="A7" s="12" t="str">
        <f aca="false">B7&amp;" | "&amp;C7</f>
        <v>VÖGELE | Super 1800-3</v>
      </c>
      <c r="B7" s="30" t="str">
        <f aca="false">'Datos Pavimentadoras'!$B$4</f>
        <v>VÖGELE</v>
      </c>
      <c r="C7" s="30" t="str">
        <f aca="false">'Datos Pavimentadoras'!$C$4</f>
        <v>Super 1800-3</v>
      </c>
      <c r="D7" s="28" t="n">
        <v>0</v>
      </c>
      <c r="E7" s="29" t="n">
        <v>0</v>
      </c>
      <c r="F7" s="30" t="str">
        <f aca="false">'Datos Pavimentadoras'!$G$4</f>
        <v>EcoPlus</v>
      </c>
      <c r="G7" s="26" t="s">
        <v>588</v>
      </c>
      <c r="H7" s="26" t="s">
        <v>588</v>
      </c>
      <c r="I7" s="42" t="n">
        <f aca="false">IF(H7="NO",1,IF(G7="SÍ",1-AhorroECOMODE,IF(ISNUMBER(SEARCH("ecoplus",F7)),FactorEcoPlus,IF(ISNUMBER(SEARCH("variospeed",F7)),FactorVarioSpeed,IF(ISNUMBER(SEARCH("eco-mode",F7)),FactorEcoMode,IF(ISNUMBER(SEARCH("eco mode",F7)),FactorEcoMode,1))))))</f>
        <v>1</v>
      </c>
      <c r="J7" s="44" t="n">
        <f aca="false">E7*I7</f>
        <v>0</v>
      </c>
      <c r="K7" s="45" t="n">
        <v>10</v>
      </c>
      <c r="L7" s="45" t="n">
        <v>6</v>
      </c>
      <c r="M7" s="26" t="s">
        <v>588</v>
      </c>
      <c r="N7" s="26" t="s">
        <v>570</v>
      </c>
      <c r="O7" s="46" t="n">
        <v>10.5</v>
      </c>
      <c r="P7" s="37" t="n">
        <f aca="false">IF(AND(M7="SÍ",N7="SÍ"),IF(O7&gt;0,O7,SetupMagmaL),IF(M7="SÍ",SetupCompetidorL,IF(O7&gt;0,O7,SetupCompetidorL)))</f>
        <v>10.5</v>
      </c>
      <c r="Q7" s="35" t="n">
        <v>60</v>
      </c>
      <c r="R7" s="36" t="n">
        <f aca="false">IF(AND(M7="SÍ",N7="NO"),HorasCalentamientoComp,IF(Q7&gt;0,Q7,HorasCalentamientoComp))</f>
        <v>60</v>
      </c>
      <c r="S7" s="47" t="n">
        <v>24000</v>
      </c>
      <c r="T7" s="38" t="n">
        <f aca="false">S7*EURUSD/(3*HorasAnioPaver)</f>
        <v>8.64</v>
      </c>
      <c r="U7" s="38" t="n">
        <f aca="false">Desgaste3aCompEUR*EURUSD/(3*HorasAnioPaver)</f>
        <v>8.64</v>
      </c>
      <c r="V7" s="38" t="n">
        <f aca="false">IF(AND(M7="SÍ",N7="SÍ"),T7,IF(M7="SÍ",U7,IF(T7&gt;0,T7,U7)))</f>
        <v>8.64</v>
      </c>
      <c r="W7" s="39" t="n">
        <f aca="false">J7*HorasOperacion*PrecioDiesel</f>
        <v>0</v>
      </c>
      <c r="X7" s="39" t="n">
        <f aca="false">HorasOperacion*(K7+L7)</f>
        <v>48000</v>
      </c>
      <c r="Y7" s="39" t="n">
        <f aca="false">HorasOperacion/HorasTurno*P7*PrecioDiesel</f>
        <v>3780</v>
      </c>
      <c r="Z7" s="39" t="n">
        <f aca="false">V7*HorasOperacion</f>
        <v>25920</v>
      </c>
      <c r="AA7" s="28" t="n">
        <v>0</v>
      </c>
      <c r="AB7" s="40" t="n">
        <f aca="false">D7+W7+X7+Y7+Z7-AA7</f>
        <v>77700</v>
      </c>
      <c r="AC7" s="38" t="n">
        <f aca="false">J7*PrecioDiesel+K7+L7+P7/HorasTurno*PrecioDiesel+V7</f>
        <v>25.9</v>
      </c>
      <c r="AD7" s="38" t="n">
        <f aca="false">IF(HorasOperacion&gt;0,AB7/HorasOperacion,0)</f>
        <v>25.9</v>
      </c>
      <c r="AE7" s="36" t="n">
        <f aca="false">AB7*TasaMoneda</f>
        <v>77700</v>
      </c>
      <c r="AF7" s="39" t="n">
        <f aca="false">IFERROR(AB7-INDEX($AB$5:$AB$8,MATCH("BOMAG",$B$5:$B$8,0)),0)</f>
        <v>5206.8</v>
      </c>
    </row>
    <row r="8" customFormat="false" ht="15" hidden="false" customHeight="false" outlineLevel="0" collapsed="false">
      <c r="A8" s="12" t="str">
        <f aca="false">B8&amp;" | "&amp;C8</f>
        <v>DYNAPAC | SD2500CS</v>
      </c>
      <c r="B8" s="30" t="str">
        <f aca="false">'Datos Pavimentadoras'!$B$5</f>
        <v>DYNAPAC</v>
      </c>
      <c r="C8" s="30" t="str">
        <f aca="false">'Datos Pavimentadoras'!$C$5</f>
        <v>SD2500CS</v>
      </c>
      <c r="D8" s="28" t="n">
        <v>0</v>
      </c>
      <c r="E8" s="29" t="n">
        <v>10.5</v>
      </c>
      <c r="F8" s="30" t="str">
        <f aca="false">'Datos Pavimentadoras'!$G$5</f>
        <v>VarioSpeed</v>
      </c>
      <c r="G8" s="26" t="s">
        <v>588</v>
      </c>
      <c r="H8" s="26" t="s">
        <v>588</v>
      </c>
      <c r="I8" s="42" t="n">
        <f aca="false">IF(H8="NO",1,IF(G8="SÍ",1-AhorroECOMODE,IF(ISNUMBER(SEARCH("ecoplus",F8)),FactorEcoPlus,IF(ISNUMBER(SEARCH("variospeed",F8)),FactorVarioSpeed,IF(ISNUMBER(SEARCH("eco-mode",F8)),FactorEcoMode,IF(ISNUMBER(SEARCH("eco mode",F8)),FactorEcoMode,1))))))</f>
        <v>1</v>
      </c>
      <c r="J8" s="44" t="n">
        <f aca="false">E8*I8</f>
        <v>10.5</v>
      </c>
      <c r="K8" s="45" t="n">
        <v>10</v>
      </c>
      <c r="L8" s="45" t="n">
        <v>6</v>
      </c>
      <c r="M8" s="26" t="s">
        <v>588</v>
      </c>
      <c r="N8" s="26" t="s">
        <v>570</v>
      </c>
      <c r="O8" s="46" t="n">
        <v>10.5</v>
      </c>
      <c r="P8" s="37" t="n">
        <f aca="false">IF(AND(M8="SÍ",N8="SÍ"),IF(O8&gt;0,O8,SetupMagmaL),IF(M8="SÍ",SetupCompetidorL,IF(O8&gt;0,O8,SetupCompetidorL)))</f>
        <v>10.5</v>
      </c>
      <c r="Q8" s="35" t="n">
        <v>30</v>
      </c>
      <c r="R8" s="36" t="n">
        <f aca="false">IF(AND(M8="SÍ",N8="NO"),HorasCalentamientoComp,IF(Q8&gt;0,Q8,HorasCalentamientoComp))</f>
        <v>30</v>
      </c>
      <c r="S8" s="47" t="n">
        <v>24000</v>
      </c>
      <c r="T8" s="38" t="n">
        <f aca="false">S8*EURUSD/(3*HorasAnioPaver)</f>
        <v>8.64</v>
      </c>
      <c r="U8" s="38" t="n">
        <f aca="false">Desgaste3aCompEUR*EURUSD/(3*HorasAnioPaver)</f>
        <v>8.64</v>
      </c>
      <c r="V8" s="38" t="n">
        <f aca="false">IF(AND(M8="SÍ",N8="SÍ"),T8,IF(M8="SÍ",U8,IF(T8&gt;0,T8,U8)))</f>
        <v>8.64</v>
      </c>
      <c r="W8" s="39" t="n">
        <f aca="false">J8*HorasOperacion*PrecioDiesel</f>
        <v>37800</v>
      </c>
      <c r="X8" s="39" t="n">
        <f aca="false">HorasOperacion*(K8+L8)</f>
        <v>48000</v>
      </c>
      <c r="Y8" s="39" t="n">
        <f aca="false">HorasOperacion/HorasTurno*P8*PrecioDiesel</f>
        <v>3780</v>
      </c>
      <c r="Z8" s="39" t="n">
        <f aca="false">V8*HorasOperacion</f>
        <v>25920</v>
      </c>
      <c r="AA8" s="28" t="n">
        <v>0</v>
      </c>
      <c r="AB8" s="40" t="n">
        <f aca="false">D8+W8+X8+Y8+Z8-AA8</f>
        <v>115500</v>
      </c>
      <c r="AC8" s="38" t="n">
        <f aca="false">J8*PrecioDiesel+K8+L8+P8/HorasTurno*PrecioDiesel+V8</f>
        <v>38.5</v>
      </c>
      <c r="AD8" s="38" t="n">
        <f aca="false">IF(HorasOperacion&gt;0,AB8/HorasOperacion,0)</f>
        <v>38.5</v>
      </c>
      <c r="AE8" s="36" t="n">
        <f aca="false">AB8*TasaMoneda</f>
        <v>115500</v>
      </c>
      <c r="AF8" s="39" t="n">
        <f aca="false">IFERROR(AB8-INDEX($AB$5:$AB$8,MATCH("BOMAG",$B$5:$B$8,0)),0)</f>
        <v>43006.8</v>
      </c>
    </row>
    <row r="10" customFormat="false" ht="15" hidden="false" customHeight="false" outlineLevel="0" collapsed="false">
      <c r="B10" s="23" t="s">
        <v>906</v>
      </c>
      <c r="D10" s="40" t="n">
        <f aca="false">IFERROR(SUMPRODUCT(MAX(($B$5:$B$8&lt;&gt;"BOMAG")*$AB$5:$AB$8))-INDEX($AB$5:$AB$8,MATCH("BOMAG",$B$5:$B$8,0)),0)</f>
        <v>55883.64</v>
      </c>
    </row>
  </sheetData>
  <dataValidations count="2">
    <dataValidation allowBlank="false" errorStyle="stop" operator="between" showDropDown="false" showErrorMessage="false" showInputMessage="false" sqref="G5:H8" type="list">
      <formula1>"SÍ,NO"</formula1>
      <formula2>0</formula2>
    </dataValidation>
    <dataValidation allowBlank="false" errorStyle="stop" operator="between" showDropDown="false" showErrorMessage="false" showInputMessage="false" sqref="M5:N8"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4" min="2" style="0" width="18"/>
  </cols>
  <sheetData>
    <row r="1" customFormat="false" ht="17.35" hidden="false" customHeight="false" outlineLevel="0" collapsed="false">
      <c r="A1" s="1" t="s">
        <v>907</v>
      </c>
    </row>
    <row r="3" customFormat="false" ht="15" hidden="false" customHeight="false" outlineLevel="0" collapsed="false">
      <c r="A3" s="12" t="s">
        <v>908</v>
      </c>
      <c r="B3" s="31" t="n">
        <f aca="false">HorasOperacion</f>
        <v>3000</v>
      </c>
    </row>
    <row r="4" customFormat="false" ht="15" hidden="false" customHeight="false" outlineLevel="0" collapsed="false">
      <c r="A4" s="12" t="s">
        <v>909</v>
      </c>
      <c r="B4" s="34" t="n">
        <f aca="false">JuntaTecnico</f>
        <v>35</v>
      </c>
    </row>
    <row r="5" customFormat="false" ht="15" hidden="false" customHeight="false" outlineLevel="0" collapsed="false">
      <c r="A5" s="12" t="s">
        <v>910</v>
      </c>
      <c r="B5" s="34" t="n">
        <f aca="false">JuntaParada</f>
        <v>120</v>
      </c>
    </row>
    <row r="6" customFormat="false" ht="15" hidden="false" customHeight="false" outlineLevel="0" collapsed="false">
      <c r="A6" s="12" t="s">
        <v>911</v>
      </c>
      <c r="B6" s="34" t="n">
        <f aca="false">JuntaGrasa</f>
        <v>15</v>
      </c>
    </row>
    <row r="8" customFormat="false" ht="45" hidden="false" customHeight="true" outlineLevel="0" collapsed="false">
      <c r="A8" s="9" t="s">
        <v>912</v>
      </c>
      <c r="B8" s="9" t="s">
        <v>913</v>
      </c>
      <c r="C8" s="9" t="s">
        <v>167</v>
      </c>
      <c r="D8" s="9" t="s">
        <v>914</v>
      </c>
    </row>
    <row r="9" customFormat="false" ht="15" hidden="false" customHeight="false" outlineLevel="0" collapsed="false">
      <c r="A9" s="12" t="s">
        <v>915</v>
      </c>
      <c r="B9" s="16" t="s">
        <v>588</v>
      </c>
      <c r="C9" s="16" t="s">
        <v>570</v>
      </c>
    </row>
    <row r="10" customFormat="false" ht="15" hidden="false" customHeight="false" outlineLevel="0" collapsed="false">
      <c r="A10" s="12" t="s">
        <v>861</v>
      </c>
      <c r="B10" s="37" t="n">
        <f aca="false">IF(B9="SÍ",0,$B$3/JuntaIntervalo)</f>
        <v>60</v>
      </c>
      <c r="C10" s="37" t="n">
        <f aca="false">IF(C9="SÍ",0,$B$3/JuntaIntervalo)</f>
        <v>0</v>
      </c>
      <c r="D10" s="37" t="n">
        <f aca="false">B10-C10</f>
        <v>60</v>
      </c>
    </row>
    <row r="11" customFormat="false" ht="15" hidden="false" customHeight="false" outlineLevel="0" collapsed="false">
      <c r="A11" s="12" t="s">
        <v>916</v>
      </c>
      <c r="B11" s="37" t="n">
        <f aca="false">B10*JuntaHorasIntervencion</f>
        <v>30</v>
      </c>
      <c r="C11" s="37" t="n">
        <f aca="false">C10*JuntaHorasIntervencion</f>
        <v>0</v>
      </c>
      <c r="D11" s="37" t="n">
        <f aca="false">B11-C11</f>
        <v>30</v>
      </c>
    </row>
    <row r="12" customFormat="false" ht="15" hidden="false" customHeight="false" outlineLevel="0" collapsed="false">
      <c r="A12" s="12" t="s">
        <v>917</v>
      </c>
      <c r="B12" s="39" t="n">
        <f aca="false">B11*$B$4</f>
        <v>1050</v>
      </c>
      <c r="C12" s="39" t="n">
        <f aca="false">C11*$B$4</f>
        <v>0</v>
      </c>
      <c r="D12" s="39" t="n">
        <f aca="false">B12-C12</f>
        <v>1050</v>
      </c>
    </row>
    <row r="13" customFormat="false" ht="15" hidden="false" customHeight="false" outlineLevel="0" collapsed="false">
      <c r="A13" s="12" t="s">
        <v>918</v>
      </c>
      <c r="B13" s="39" t="n">
        <f aca="false">B10*$B$6</f>
        <v>900</v>
      </c>
      <c r="C13" s="39" t="n">
        <f aca="false">C10*$B$6</f>
        <v>0</v>
      </c>
      <c r="D13" s="39" t="n">
        <f aca="false">B13-C13</f>
        <v>900</v>
      </c>
    </row>
    <row r="14" customFormat="false" ht="15" hidden="false" customHeight="false" outlineLevel="0" collapsed="false">
      <c r="A14" s="12" t="s">
        <v>919</v>
      </c>
      <c r="B14" s="39" t="n">
        <f aca="false">B11*$B$5</f>
        <v>3600</v>
      </c>
      <c r="C14" s="39" t="n">
        <f aca="false">C11*$B$5</f>
        <v>0</v>
      </c>
      <c r="D14" s="39" t="n">
        <f aca="false">B14-C14</f>
        <v>3600</v>
      </c>
    </row>
    <row r="15" customFormat="false" ht="15" hidden="false" customHeight="false" outlineLevel="0" collapsed="false">
      <c r="A15" s="23" t="s">
        <v>920</v>
      </c>
      <c r="B15" s="40" t="n">
        <f aca="false">SUM(B12:B14)</f>
        <v>5550</v>
      </c>
      <c r="C15" s="40" t="n">
        <f aca="false">SUM(C12:C14)</f>
        <v>0</v>
      </c>
      <c r="D15" s="40" t="n">
        <f aca="false">B15-C15</f>
        <v>5550</v>
      </c>
    </row>
  </sheetData>
  <dataValidations count="1">
    <dataValidation allowBlank="false" errorStyle="stop" operator="between" showDropDown="false" showErrorMessage="false" showInputMessage="false" sqref="B9:C9"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5" min="3" style="0" width="13"/>
    <col collapsed="false" customWidth="true" hidden="false" outlineLevel="0" max="18" min="6" style="0" width="12"/>
  </cols>
  <sheetData>
    <row r="1" customFormat="false" ht="17.35" hidden="false" customHeight="false" outlineLevel="0" collapsed="false">
      <c r="A1" s="1" t="s">
        <v>921</v>
      </c>
    </row>
    <row r="2" customFormat="false" ht="15" hidden="false" customHeight="false" outlineLevel="0" collapsed="false">
      <c r="A2" s="2" t="s">
        <v>922</v>
      </c>
    </row>
    <row r="4" customFormat="false" ht="31.5" hidden="false" customHeight="true" outlineLevel="0" collapsed="false">
      <c r="A4" s="48" t="s">
        <v>843</v>
      </c>
      <c r="B4" s="48" t="s">
        <v>136</v>
      </c>
      <c r="C4" s="48" t="s">
        <v>923</v>
      </c>
      <c r="D4" s="48" t="s">
        <v>864</v>
      </c>
      <c r="E4" s="48" t="s">
        <v>846</v>
      </c>
      <c r="F4" s="49" t="n">
        <v>0</v>
      </c>
      <c r="G4" s="49" t="n">
        <v>1000</v>
      </c>
      <c r="H4" s="49" t="n">
        <v>1500</v>
      </c>
      <c r="I4" s="49" t="n">
        <v>2000</v>
      </c>
      <c r="J4" s="49" t="n">
        <v>2500</v>
      </c>
      <c r="K4" s="49" t="n">
        <v>3000</v>
      </c>
      <c r="L4" s="49" t="n">
        <v>4000</v>
      </c>
      <c r="M4" s="49" t="n">
        <v>5000</v>
      </c>
      <c r="N4" s="49" t="n">
        <v>6000</v>
      </c>
      <c r="O4" s="49" t="n">
        <v>7000</v>
      </c>
      <c r="P4" s="49" t="n">
        <v>8000</v>
      </c>
      <c r="Q4" s="49" t="n">
        <v>9000</v>
      </c>
      <c r="R4" s="49" t="n">
        <v>10000</v>
      </c>
    </row>
    <row r="5" customFormat="false" ht="15" hidden="false" customHeight="false" outlineLevel="0" collapsed="false">
      <c r="A5" s="12" t="s">
        <v>868</v>
      </c>
      <c r="B5" s="30" t="str">
        <f aca="false">'Análisis Compactación'!A5</f>
        <v>SDR | BOMAG | BW211 D-5 SL (mat. 93500000)</v>
      </c>
      <c r="C5" s="32" t="n">
        <f aca="false">'Análisis Compactación'!F5</f>
        <v>57592.78</v>
      </c>
      <c r="D5" s="34" t="n">
        <f aca="false">'Análisis Compactación'!AB5</f>
        <v>17.16</v>
      </c>
      <c r="E5" s="32" t="n">
        <f aca="false">'Análisis Compactación'!J5</f>
        <v>0</v>
      </c>
      <c r="F5" s="39" t="n">
        <f aca="false">$C5+F$4*$D5-$E5</f>
        <v>57592.78</v>
      </c>
      <c r="G5" s="39" t="n">
        <f aca="false">$C5+G$4*$D5-$E5</f>
        <v>74752.78</v>
      </c>
      <c r="H5" s="39" t="n">
        <f aca="false">$C5+H$4*$D5-$E5</f>
        <v>83332.78</v>
      </c>
      <c r="I5" s="39" t="n">
        <f aca="false">$C5+I$4*$D5-$E5</f>
        <v>91912.78</v>
      </c>
      <c r="J5" s="39" t="n">
        <f aca="false">$C5+J$4*$D5-$E5</f>
        <v>100492.78</v>
      </c>
      <c r="K5" s="39" t="n">
        <f aca="false">$C5+K$4*$D5-$E5</f>
        <v>109072.78</v>
      </c>
      <c r="L5" s="39" t="n">
        <f aca="false">$C5+L$4*$D5-$E5</f>
        <v>126232.78</v>
      </c>
      <c r="M5" s="39" t="n">
        <f aca="false">$C5+M$4*$D5-$E5</f>
        <v>143392.78</v>
      </c>
      <c r="N5" s="39" t="n">
        <f aca="false">$C5+N$4*$D5-$E5</f>
        <v>160552.78</v>
      </c>
      <c r="O5" s="39" t="n">
        <f aca="false">$C5+O$4*$D5-$E5</f>
        <v>177712.78</v>
      </c>
      <c r="P5" s="39" t="n">
        <f aca="false">$C5+P$4*$D5-$E5</f>
        <v>194872.78</v>
      </c>
      <c r="Q5" s="39" t="n">
        <f aca="false">$C5+Q$4*$D5-$E5</f>
        <v>212032.78</v>
      </c>
      <c r="R5" s="39" t="n">
        <f aca="false">$C5+R$4*$D5-$E5</f>
        <v>229192.78</v>
      </c>
    </row>
    <row r="6" customFormat="false" ht="15" hidden="false" customHeight="false" outlineLevel="0" collapsed="false">
      <c r="A6" s="12" t="s">
        <v>868</v>
      </c>
      <c r="B6" s="30" t="str">
        <f aca="false">'Análisis Compactación'!A6</f>
        <v>SDR | BOMAG | BW211 D-5 SL (mat. 93500004)</v>
      </c>
      <c r="C6" s="32" t="n">
        <f aca="false">'Análisis Compactación'!F6</f>
        <v>59374</v>
      </c>
      <c r="D6" s="34" t="n">
        <f aca="false">'Análisis Compactación'!AB6</f>
        <v>17.16</v>
      </c>
      <c r="E6" s="32" t="n">
        <f aca="false">'Análisis Compactación'!J6</f>
        <v>0</v>
      </c>
      <c r="F6" s="39" t="n">
        <f aca="false">$C6+F$4*$D6-$E6</f>
        <v>59374</v>
      </c>
      <c r="G6" s="39" t="n">
        <f aca="false">$C6+G$4*$D6-$E6</f>
        <v>76534</v>
      </c>
      <c r="H6" s="39" t="n">
        <f aca="false">$C6+H$4*$D6-$E6</f>
        <v>85114</v>
      </c>
      <c r="I6" s="39" t="n">
        <f aca="false">$C6+I$4*$D6-$E6</f>
        <v>93694</v>
      </c>
      <c r="J6" s="39" t="n">
        <f aca="false">$C6+J$4*$D6-$E6</f>
        <v>102274</v>
      </c>
      <c r="K6" s="39" t="n">
        <f aca="false">$C6+K$4*$D6-$E6</f>
        <v>110854</v>
      </c>
      <c r="L6" s="39" t="n">
        <f aca="false">$C6+L$4*$D6-$E6</f>
        <v>128014</v>
      </c>
      <c r="M6" s="39" t="n">
        <f aca="false">$C6+M$4*$D6-$E6</f>
        <v>145174</v>
      </c>
      <c r="N6" s="39" t="n">
        <f aca="false">$C6+N$4*$D6-$E6</f>
        <v>162334</v>
      </c>
      <c r="O6" s="39" t="n">
        <f aca="false">$C6+O$4*$D6-$E6</f>
        <v>179494</v>
      </c>
      <c r="P6" s="39" t="n">
        <f aca="false">$C6+P$4*$D6-$E6</f>
        <v>196654</v>
      </c>
      <c r="Q6" s="39" t="n">
        <f aca="false">$C6+Q$4*$D6-$E6</f>
        <v>213814</v>
      </c>
      <c r="R6" s="39" t="n">
        <f aca="false">$C6+R$4*$D6-$E6</f>
        <v>230974</v>
      </c>
    </row>
    <row r="7" customFormat="false" ht="15" hidden="false" customHeight="false" outlineLevel="0" collapsed="false">
      <c r="A7" s="12" t="s">
        <v>868</v>
      </c>
      <c r="B7" s="30" t="str">
        <f aca="false">'Análisis Compactación'!A7</f>
        <v>SDR | BOMAG | BW211 D-5 SL (mat. 58400031)</v>
      </c>
      <c r="C7" s="32" t="n">
        <f aca="false">'Análisis Compactación'!F7</f>
        <v>63530.18</v>
      </c>
      <c r="D7" s="34" t="n">
        <f aca="false">'Análisis Compactación'!AB7</f>
        <v>17.88</v>
      </c>
      <c r="E7" s="32" t="n">
        <f aca="false">'Análisis Compactación'!J7</f>
        <v>0</v>
      </c>
      <c r="F7" s="39" t="n">
        <f aca="false">$C7+F$4*$D7-$E7</f>
        <v>63530.18</v>
      </c>
      <c r="G7" s="39" t="n">
        <f aca="false">$C7+G$4*$D7-$E7</f>
        <v>81410.18</v>
      </c>
      <c r="H7" s="39" t="n">
        <f aca="false">$C7+H$4*$D7-$E7</f>
        <v>90350.18</v>
      </c>
      <c r="I7" s="39" t="n">
        <f aca="false">$C7+I$4*$D7-$E7</f>
        <v>99290.18</v>
      </c>
      <c r="J7" s="39" t="n">
        <f aca="false">$C7+J$4*$D7-$E7</f>
        <v>108230.18</v>
      </c>
      <c r="K7" s="39" t="n">
        <f aca="false">$C7+K$4*$D7-$E7</f>
        <v>117170.18</v>
      </c>
      <c r="L7" s="39" t="n">
        <f aca="false">$C7+L$4*$D7-$E7</f>
        <v>135050.18</v>
      </c>
      <c r="M7" s="39" t="n">
        <f aca="false">$C7+M$4*$D7-$E7</f>
        <v>152930.18</v>
      </c>
      <c r="N7" s="39" t="n">
        <f aca="false">$C7+N$4*$D7-$E7</f>
        <v>170810.18</v>
      </c>
      <c r="O7" s="39" t="n">
        <f aca="false">$C7+O$4*$D7-$E7</f>
        <v>188690.18</v>
      </c>
      <c r="P7" s="39" t="n">
        <f aca="false">$C7+P$4*$D7-$E7</f>
        <v>206570.18</v>
      </c>
      <c r="Q7" s="39" t="n">
        <f aca="false">$C7+Q$4*$D7-$E7</f>
        <v>224450.18</v>
      </c>
      <c r="R7" s="39" t="n">
        <f aca="false">$C7+R$4*$D7-$E7</f>
        <v>242330.18</v>
      </c>
    </row>
    <row r="8" customFormat="false" ht="15" hidden="false" customHeight="false" outlineLevel="0" collapsed="false">
      <c r="A8" s="12" t="s">
        <v>868</v>
      </c>
      <c r="B8" s="30" t="str">
        <f aca="false">'Análisis Compactación'!A8</f>
        <v>SDR | BOMAG | BW211 D-5 SL (mat. 58400033)</v>
      </c>
      <c r="C8" s="32" t="n">
        <f aca="false">'Análisis Compactación'!F8</f>
        <v>66500</v>
      </c>
      <c r="D8" s="34" t="n">
        <f aca="false">'Análisis Compactación'!AB8</f>
        <v>17.88</v>
      </c>
      <c r="E8" s="32" t="n">
        <f aca="false">'Análisis Compactación'!J8</f>
        <v>0</v>
      </c>
      <c r="F8" s="39" t="n">
        <f aca="false">$C8+F$4*$D8-$E8</f>
        <v>66500</v>
      </c>
      <c r="G8" s="39" t="n">
        <f aca="false">$C8+G$4*$D8-$E8</f>
        <v>84380</v>
      </c>
      <c r="H8" s="39" t="n">
        <f aca="false">$C8+H$4*$D8-$E8</f>
        <v>93320</v>
      </c>
      <c r="I8" s="39" t="n">
        <f aca="false">$C8+I$4*$D8-$E8</f>
        <v>102260</v>
      </c>
      <c r="J8" s="39" t="n">
        <f aca="false">$C8+J$4*$D8-$E8</f>
        <v>111200</v>
      </c>
      <c r="K8" s="39" t="n">
        <f aca="false">$C8+K$4*$D8-$E8</f>
        <v>120140</v>
      </c>
      <c r="L8" s="39" t="n">
        <f aca="false">$C8+L$4*$D8-$E8</f>
        <v>138020</v>
      </c>
      <c r="M8" s="39" t="n">
        <f aca="false">$C8+M$4*$D8-$E8</f>
        <v>155900</v>
      </c>
      <c r="N8" s="39" t="n">
        <f aca="false">$C8+N$4*$D8-$E8</f>
        <v>173780</v>
      </c>
      <c r="O8" s="39" t="n">
        <f aca="false">$C8+O$4*$D8-$E8</f>
        <v>191660</v>
      </c>
      <c r="P8" s="39" t="n">
        <f aca="false">$C8+P$4*$D8-$E8</f>
        <v>209540</v>
      </c>
      <c r="Q8" s="39" t="n">
        <f aca="false">$C8+Q$4*$D8-$E8</f>
        <v>227420</v>
      </c>
      <c r="R8" s="39" t="n">
        <f aca="false">$C8+R$4*$D8-$E8</f>
        <v>245300</v>
      </c>
    </row>
    <row r="9" customFormat="false" ht="15" hidden="false" customHeight="false" outlineLevel="0" collapsed="false">
      <c r="A9" s="12" t="s">
        <v>868</v>
      </c>
      <c r="B9" s="30" t="str">
        <f aca="false">'Análisis Compactación'!A9</f>
        <v>SDR | BOMAG | BW212 D-5 SL</v>
      </c>
      <c r="C9" s="32" t="n">
        <f aca="false">'Análisis Compactación'!F9</f>
        <v>68684</v>
      </c>
      <c r="D9" s="34" t="n">
        <f aca="false">'Análisis Compactación'!AB9</f>
        <v>17.88</v>
      </c>
      <c r="E9" s="32" t="n">
        <f aca="false">'Análisis Compactación'!J9</f>
        <v>0</v>
      </c>
      <c r="F9" s="39" t="n">
        <f aca="false">$C9+F$4*$D9-$E9</f>
        <v>68684</v>
      </c>
      <c r="G9" s="39" t="n">
        <f aca="false">$C9+G$4*$D9-$E9</f>
        <v>86564</v>
      </c>
      <c r="H9" s="39" t="n">
        <f aca="false">$C9+H$4*$D9-$E9</f>
        <v>95504</v>
      </c>
      <c r="I9" s="39" t="n">
        <f aca="false">$C9+I$4*$D9-$E9</f>
        <v>104444</v>
      </c>
      <c r="J9" s="39" t="n">
        <f aca="false">$C9+J$4*$D9-$E9</f>
        <v>113384</v>
      </c>
      <c r="K9" s="39" t="n">
        <f aca="false">$C9+K$4*$D9-$E9</f>
        <v>122324</v>
      </c>
      <c r="L9" s="39" t="n">
        <f aca="false">$C9+L$4*$D9-$E9</f>
        <v>140204</v>
      </c>
      <c r="M9" s="39" t="n">
        <f aca="false">$C9+M$4*$D9-$E9</f>
        <v>158084</v>
      </c>
      <c r="N9" s="39" t="n">
        <f aca="false">$C9+N$4*$D9-$E9</f>
        <v>175964</v>
      </c>
      <c r="O9" s="39" t="n">
        <f aca="false">$C9+O$4*$D9-$E9</f>
        <v>193844</v>
      </c>
      <c r="P9" s="39" t="n">
        <f aca="false">$C9+P$4*$D9-$E9</f>
        <v>211724</v>
      </c>
      <c r="Q9" s="39" t="n">
        <f aca="false">$C9+Q$4*$D9-$E9</f>
        <v>229604</v>
      </c>
      <c r="R9" s="39" t="n">
        <f aca="false">$C9+R$4*$D9-$E9</f>
        <v>247484</v>
      </c>
    </row>
    <row r="10" customFormat="false" ht="15" hidden="false" customHeight="false" outlineLevel="0" collapsed="false">
      <c r="A10" s="12" t="s">
        <v>868</v>
      </c>
      <c r="B10" s="30" t="str">
        <f aca="false">'Análisis Compactación'!A10</f>
        <v>SDR | BOMAG | BW213 D-5 SL</v>
      </c>
      <c r="C10" s="32" t="n">
        <f aca="false">'Análisis Compactación'!F10</f>
        <v>72948</v>
      </c>
      <c r="D10" s="34" t="n">
        <f aca="false">'Análisis Compactación'!AB10</f>
        <v>17.88</v>
      </c>
      <c r="E10" s="32" t="n">
        <f aca="false">'Análisis Compactación'!J10</f>
        <v>0</v>
      </c>
      <c r="F10" s="39" t="n">
        <f aca="false">$C10+F$4*$D10-$E10</f>
        <v>72948</v>
      </c>
      <c r="G10" s="39" t="n">
        <f aca="false">$C10+G$4*$D10-$E10</f>
        <v>90828</v>
      </c>
      <c r="H10" s="39" t="n">
        <f aca="false">$C10+H$4*$D10-$E10</f>
        <v>99768</v>
      </c>
      <c r="I10" s="39" t="n">
        <f aca="false">$C10+I$4*$D10-$E10</f>
        <v>108708</v>
      </c>
      <c r="J10" s="39" t="n">
        <f aca="false">$C10+J$4*$D10-$E10</f>
        <v>117648</v>
      </c>
      <c r="K10" s="39" t="n">
        <f aca="false">$C10+K$4*$D10-$E10</f>
        <v>126588</v>
      </c>
      <c r="L10" s="39" t="n">
        <f aca="false">$C10+L$4*$D10-$E10</f>
        <v>144468</v>
      </c>
      <c r="M10" s="39" t="n">
        <f aca="false">$C10+M$4*$D10-$E10</f>
        <v>162348</v>
      </c>
      <c r="N10" s="39" t="n">
        <f aca="false">$C10+N$4*$D10-$E10</f>
        <v>180228</v>
      </c>
      <c r="O10" s="39" t="n">
        <f aca="false">$C10+O$4*$D10-$E10</f>
        <v>198108</v>
      </c>
      <c r="P10" s="39" t="n">
        <f aca="false">$C10+P$4*$D10-$E10</f>
        <v>215988</v>
      </c>
      <c r="Q10" s="39" t="n">
        <f aca="false">$C10+Q$4*$D10-$E10</f>
        <v>233868</v>
      </c>
      <c r="R10" s="39" t="n">
        <f aca="false">$C10+R$4*$D10-$E10</f>
        <v>251748</v>
      </c>
    </row>
    <row r="11" customFormat="false" ht="15" hidden="false" customHeight="false" outlineLevel="0" collapsed="false">
      <c r="A11" s="12" t="s">
        <v>868</v>
      </c>
      <c r="B11" s="30" t="str">
        <f aca="false">'Análisis Compactación'!A11</f>
        <v>SDR | BOMAG | BW213 D-5 SL TCD</v>
      </c>
      <c r="C11" s="32" t="n">
        <f aca="false">'Análisis Compactación'!F11</f>
        <v>72948</v>
      </c>
      <c r="D11" s="34" t="n">
        <f aca="false">'Análisis Compactación'!AB11</f>
        <v>17.88</v>
      </c>
      <c r="E11" s="32" t="n">
        <f aca="false">'Análisis Compactación'!J11</f>
        <v>0</v>
      </c>
      <c r="F11" s="39" t="n">
        <f aca="false">$C11+F$4*$D11-$E11</f>
        <v>72948</v>
      </c>
      <c r="G11" s="39" t="n">
        <f aca="false">$C11+G$4*$D11-$E11</f>
        <v>90828</v>
      </c>
      <c r="H11" s="39" t="n">
        <f aca="false">$C11+H$4*$D11-$E11</f>
        <v>99768</v>
      </c>
      <c r="I11" s="39" t="n">
        <f aca="false">$C11+I$4*$D11-$E11</f>
        <v>108708</v>
      </c>
      <c r="J11" s="39" t="n">
        <f aca="false">$C11+J$4*$D11-$E11</f>
        <v>117648</v>
      </c>
      <c r="K11" s="39" t="n">
        <f aca="false">$C11+K$4*$D11-$E11</f>
        <v>126588</v>
      </c>
      <c r="L11" s="39" t="n">
        <f aca="false">$C11+L$4*$D11-$E11</f>
        <v>144468</v>
      </c>
      <c r="M11" s="39" t="n">
        <f aca="false">$C11+M$4*$D11-$E11</f>
        <v>162348</v>
      </c>
      <c r="N11" s="39" t="n">
        <f aca="false">$C11+N$4*$D11-$E11</f>
        <v>180228</v>
      </c>
      <c r="O11" s="39" t="n">
        <f aca="false">$C11+O$4*$D11-$E11</f>
        <v>198108</v>
      </c>
      <c r="P11" s="39" t="n">
        <f aca="false">$C11+P$4*$D11-$E11</f>
        <v>215988</v>
      </c>
      <c r="Q11" s="39" t="n">
        <f aca="false">$C11+Q$4*$D11-$E11</f>
        <v>233868</v>
      </c>
      <c r="R11" s="39" t="n">
        <f aca="false">$C11+R$4*$D11-$E11</f>
        <v>251748</v>
      </c>
    </row>
    <row r="12" customFormat="false" ht="15" hidden="false" customHeight="false" outlineLevel="0" collapsed="false">
      <c r="A12" s="12" t="s">
        <v>868</v>
      </c>
      <c r="B12" s="30" t="str">
        <f aca="false">'Análisis Compactación'!A12</f>
        <v>SDR | BOMAG | BW216 D-5 SL</v>
      </c>
      <c r="C12" s="32" t="n">
        <f aca="false">'Análisis Compactación'!F12</f>
        <v>0</v>
      </c>
      <c r="D12" s="34" t="n">
        <f aca="false">'Análisis Compactación'!AB12</f>
        <v>3</v>
      </c>
      <c r="E12" s="32" t="n">
        <f aca="false">'Análisis Compactación'!J12</f>
        <v>0</v>
      </c>
      <c r="F12" s="39" t="n">
        <f aca="false">$C12+F$4*$D12-$E12</f>
        <v>0</v>
      </c>
      <c r="G12" s="39" t="n">
        <f aca="false">$C12+G$4*$D12-$E12</f>
        <v>3000</v>
      </c>
      <c r="H12" s="39" t="n">
        <f aca="false">$C12+H$4*$D12-$E12</f>
        <v>4500</v>
      </c>
      <c r="I12" s="39" t="n">
        <f aca="false">$C12+I$4*$D12-$E12</f>
        <v>6000</v>
      </c>
      <c r="J12" s="39" t="n">
        <f aca="false">$C12+J$4*$D12-$E12</f>
        <v>7500</v>
      </c>
      <c r="K12" s="39" t="n">
        <f aca="false">$C12+K$4*$D12-$E12</f>
        <v>9000</v>
      </c>
      <c r="L12" s="39" t="n">
        <f aca="false">$C12+L$4*$D12-$E12</f>
        <v>12000</v>
      </c>
      <c r="M12" s="39" t="n">
        <f aca="false">$C12+M$4*$D12-$E12</f>
        <v>15000</v>
      </c>
      <c r="N12" s="39" t="n">
        <f aca="false">$C12+N$4*$D12-$E12</f>
        <v>18000</v>
      </c>
      <c r="O12" s="39" t="n">
        <f aca="false">$C12+O$4*$D12-$E12</f>
        <v>21000</v>
      </c>
      <c r="P12" s="39" t="n">
        <f aca="false">$C12+P$4*$D12-$E12</f>
        <v>24000</v>
      </c>
      <c r="Q12" s="39" t="n">
        <f aca="false">$C12+Q$4*$D12-$E12</f>
        <v>27000</v>
      </c>
      <c r="R12" s="39" t="n">
        <f aca="false">$C12+R$4*$D12-$E12</f>
        <v>30000</v>
      </c>
    </row>
    <row r="13" customFormat="false" ht="15" hidden="false" customHeight="false" outlineLevel="0" collapsed="false">
      <c r="A13" s="12" t="s">
        <v>868</v>
      </c>
      <c r="B13" s="30" t="str">
        <f aca="false">'Análisis Compactación'!A13</f>
        <v>SDR | BOMAG | BW219 D-5 PL</v>
      </c>
      <c r="C13" s="32" t="n">
        <f aca="false">'Análisis Compactación'!F13</f>
        <v>0</v>
      </c>
      <c r="D13" s="34" t="n">
        <f aca="false">'Análisis Compactación'!AB13</f>
        <v>3</v>
      </c>
      <c r="E13" s="32" t="n">
        <f aca="false">'Análisis Compactación'!J13</f>
        <v>0</v>
      </c>
      <c r="F13" s="39" t="n">
        <f aca="false">$C13+F$4*$D13-$E13</f>
        <v>0</v>
      </c>
      <c r="G13" s="39" t="n">
        <f aca="false">$C13+G$4*$D13-$E13</f>
        <v>3000</v>
      </c>
      <c r="H13" s="39" t="n">
        <f aca="false">$C13+H$4*$D13-$E13</f>
        <v>4500</v>
      </c>
      <c r="I13" s="39" t="n">
        <f aca="false">$C13+I$4*$D13-$E13</f>
        <v>6000</v>
      </c>
      <c r="J13" s="39" t="n">
        <f aca="false">$C13+J$4*$D13-$E13</f>
        <v>7500</v>
      </c>
      <c r="K13" s="39" t="n">
        <f aca="false">$C13+K$4*$D13-$E13</f>
        <v>9000</v>
      </c>
      <c r="L13" s="39" t="n">
        <f aca="false">$C13+L$4*$D13-$E13</f>
        <v>12000</v>
      </c>
      <c r="M13" s="39" t="n">
        <f aca="false">$C13+M$4*$D13-$E13</f>
        <v>15000</v>
      </c>
      <c r="N13" s="39" t="n">
        <f aca="false">$C13+N$4*$D13-$E13</f>
        <v>18000</v>
      </c>
      <c r="O13" s="39" t="n">
        <f aca="false">$C13+O$4*$D13-$E13</f>
        <v>21000</v>
      </c>
      <c r="P13" s="39" t="n">
        <f aca="false">$C13+P$4*$D13-$E13</f>
        <v>24000</v>
      </c>
      <c r="Q13" s="39" t="n">
        <f aca="false">$C13+Q$4*$D13-$E13</f>
        <v>27000</v>
      </c>
      <c r="R13" s="39" t="n">
        <f aca="false">$C13+R$4*$D13-$E13</f>
        <v>30000</v>
      </c>
    </row>
    <row r="14" customFormat="false" ht="15" hidden="false" customHeight="false" outlineLevel="0" collapsed="false">
      <c r="A14" s="12" t="s">
        <v>868</v>
      </c>
      <c r="B14" s="30" t="str">
        <f aca="false">'Análisis Compactación'!A14</f>
        <v>SDR | BOMAG | BW220 D-5 PL</v>
      </c>
      <c r="C14" s="32" t="n">
        <f aca="false">'Análisis Compactación'!F14</f>
        <v>0</v>
      </c>
      <c r="D14" s="34" t="n">
        <f aca="false">'Análisis Compactación'!AB14</f>
        <v>3</v>
      </c>
      <c r="E14" s="32" t="n">
        <f aca="false">'Análisis Compactación'!J14</f>
        <v>0</v>
      </c>
      <c r="F14" s="39" t="n">
        <f aca="false">$C14+F$4*$D14-$E14</f>
        <v>0</v>
      </c>
      <c r="G14" s="39" t="n">
        <f aca="false">$C14+G$4*$D14-$E14</f>
        <v>3000</v>
      </c>
      <c r="H14" s="39" t="n">
        <f aca="false">$C14+H$4*$D14-$E14</f>
        <v>4500</v>
      </c>
      <c r="I14" s="39" t="n">
        <f aca="false">$C14+I$4*$D14-$E14</f>
        <v>6000</v>
      </c>
      <c r="J14" s="39" t="n">
        <f aca="false">$C14+J$4*$D14-$E14</f>
        <v>7500</v>
      </c>
      <c r="K14" s="39" t="n">
        <f aca="false">$C14+K$4*$D14-$E14</f>
        <v>9000</v>
      </c>
      <c r="L14" s="39" t="n">
        <f aca="false">$C14+L$4*$D14-$E14</f>
        <v>12000</v>
      </c>
      <c r="M14" s="39" t="n">
        <f aca="false">$C14+M$4*$D14-$E14</f>
        <v>15000</v>
      </c>
      <c r="N14" s="39" t="n">
        <f aca="false">$C14+N$4*$D14-$E14</f>
        <v>18000</v>
      </c>
      <c r="O14" s="39" t="n">
        <f aca="false">$C14+O$4*$D14-$E14</f>
        <v>21000</v>
      </c>
      <c r="P14" s="39" t="n">
        <f aca="false">$C14+P$4*$D14-$E14</f>
        <v>24000</v>
      </c>
      <c r="Q14" s="39" t="n">
        <f aca="false">$C14+Q$4*$D14-$E14</f>
        <v>27000</v>
      </c>
      <c r="R14" s="39" t="n">
        <f aca="false">$C14+R$4*$D14-$E14</f>
        <v>30000</v>
      </c>
    </row>
    <row r="15" customFormat="false" ht="15" hidden="false" customHeight="false" outlineLevel="0" collapsed="false">
      <c r="A15" s="12" t="s">
        <v>868</v>
      </c>
      <c r="B15" s="30" t="str">
        <f aca="false">'Análisis Compactación'!A15</f>
        <v>SDR | SAKAI | SV521D</v>
      </c>
      <c r="C15" s="32" t="n">
        <f aca="false">'Análisis Compactación'!F15</f>
        <v>0</v>
      </c>
      <c r="D15" s="34" t="n">
        <f aca="false">'Análisis Compactación'!AB15</f>
        <v>4.85</v>
      </c>
      <c r="E15" s="32" t="n">
        <f aca="false">'Análisis Compactación'!J15</f>
        <v>0</v>
      </c>
      <c r="F15" s="39" t="n">
        <f aca="false">$C15+F$4*$D15-$E15</f>
        <v>0</v>
      </c>
      <c r="G15" s="39" t="n">
        <f aca="false">$C15+G$4*$D15-$E15</f>
        <v>4850</v>
      </c>
      <c r="H15" s="39" t="n">
        <f aca="false">$C15+H$4*$D15-$E15</f>
        <v>7275</v>
      </c>
      <c r="I15" s="39" t="n">
        <f aca="false">$C15+I$4*$D15-$E15</f>
        <v>9700</v>
      </c>
      <c r="J15" s="39" t="n">
        <f aca="false">$C15+J$4*$D15-$E15</f>
        <v>12125</v>
      </c>
      <c r="K15" s="39" t="n">
        <f aca="false">$C15+K$4*$D15-$E15</f>
        <v>14550</v>
      </c>
      <c r="L15" s="39" t="n">
        <f aca="false">$C15+L$4*$D15-$E15</f>
        <v>19400</v>
      </c>
      <c r="M15" s="39" t="n">
        <f aca="false">$C15+M$4*$D15-$E15</f>
        <v>24250</v>
      </c>
      <c r="N15" s="39" t="n">
        <f aca="false">$C15+N$4*$D15-$E15</f>
        <v>29100</v>
      </c>
      <c r="O15" s="39" t="n">
        <f aca="false">$C15+O$4*$D15-$E15</f>
        <v>33950</v>
      </c>
      <c r="P15" s="39" t="n">
        <f aca="false">$C15+P$4*$D15-$E15</f>
        <v>38800</v>
      </c>
      <c r="Q15" s="39" t="n">
        <f aca="false">$C15+Q$4*$D15-$E15</f>
        <v>43650</v>
      </c>
      <c r="R15" s="39" t="n">
        <f aca="false">$C15+R$4*$D15-$E15</f>
        <v>48500</v>
      </c>
    </row>
    <row r="16" customFormat="false" ht="15" hidden="false" customHeight="false" outlineLevel="0" collapsed="false">
      <c r="A16" s="12" t="s">
        <v>868</v>
      </c>
      <c r="B16" s="30" t="str">
        <f aca="false">'Análisis Compactación'!A16</f>
        <v>SDR | SAKAI | SV621D</v>
      </c>
      <c r="C16" s="32" t="n">
        <f aca="false">'Análisis Compactación'!F16</f>
        <v>0</v>
      </c>
      <c r="D16" s="34" t="n">
        <f aca="false">'Análisis Compactación'!AB16</f>
        <v>4.85</v>
      </c>
      <c r="E16" s="32" t="n">
        <f aca="false">'Análisis Compactación'!J16</f>
        <v>0</v>
      </c>
      <c r="F16" s="39" t="n">
        <f aca="false">$C16+F$4*$D16-$E16</f>
        <v>0</v>
      </c>
      <c r="G16" s="39" t="n">
        <f aca="false">$C16+G$4*$D16-$E16</f>
        <v>4850</v>
      </c>
      <c r="H16" s="39" t="n">
        <f aca="false">$C16+H$4*$D16-$E16</f>
        <v>7275</v>
      </c>
      <c r="I16" s="39" t="n">
        <f aca="false">$C16+I$4*$D16-$E16</f>
        <v>9700</v>
      </c>
      <c r="J16" s="39" t="n">
        <f aca="false">$C16+J$4*$D16-$E16</f>
        <v>12125</v>
      </c>
      <c r="K16" s="39" t="n">
        <f aca="false">$C16+K$4*$D16-$E16</f>
        <v>14550</v>
      </c>
      <c r="L16" s="39" t="n">
        <f aca="false">$C16+L$4*$D16-$E16</f>
        <v>19400</v>
      </c>
      <c r="M16" s="39" t="n">
        <f aca="false">$C16+M$4*$D16-$E16</f>
        <v>24250</v>
      </c>
      <c r="N16" s="39" t="n">
        <f aca="false">$C16+N$4*$D16-$E16</f>
        <v>29100</v>
      </c>
      <c r="O16" s="39" t="n">
        <f aca="false">$C16+O$4*$D16-$E16</f>
        <v>33950</v>
      </c>
      <c r="P16" s="39" t="n">
        <f aca="false">$C16+P$4*$D16-$E16</f>
        <v>38800</v>
      </c>
      <c r="Q16" s="39" t="n">
        <f aca="false">$C16+Q$4*$D16-$E16</f>
        <v>43650</v>
      </c>
      <c r="R16" s="39" t="n">
        <f aca="false">$C16+R$4*$D16-$E16</f>
        <v>48500</v>
      </c>
    </row>
    <row r="17" customFormat="false" ht="15" hidden="false" customHeight="false" outlineLevel="0" collapsed="false">
      <c r="A17" s="12" t="s">
        <v>868</v>
      </c>
      <c r="B17" s="30" t="str">
        <f aca="false">'Análisis Compactación'!A17</f>
        <v>SDR | SAKAI | SV700D</v>
      </c>
      <c r="C17" s="32" t="n">
        <f aca="false">'Análisis Compactación'!F17</f>
        <v>0</v>
      </c>
      <c r="D17" s="34" t="n">
        <f aca="false">'Análisis Compactación'!AB17</f>
        <v>4.85</v>
      </c>
      <c r="E17" s="32" t="n">
        <f aca="false">'Análisis Compactación'!J17</f>
        <v>0</v>
      </c>
      <c r="F17" s="39" t="n">
        <f aca="false">$C17+F$4*$D17-$E17</f>
        <v>0</v>
      </c>
      <c r="G17" s="39" t="n">
        <f aca="false">$C17+G$4*$D17-$E17</f>
        <v>4850</v>
      </c>
      <c r="H17" s="39" t="n">
        <f aca="false">$C17+H$4*$D17-$E17</f>
        <v>7275</v>
      </c>
      <c r="I17" s="39" t="n">
        <f aca="false">$C17+I$4*$D17-$E17</f>
        <v>9700</v>
      </c>
      <c r="J17" s="39" t="n">
        <f aca="false">$C17+J$4*$D17-$E17</f>
        <v>12125</v>
      </c>
      <c r="K17" s="39" t="n">
        <f aca="false">$C17+K$4*$D17-$E17</f>
        <v>14550</v>
      </c>
      <c r="L17" s="39" t="n">
        <f aca="false">$C17+L$4*$D17-$E17</f>
        <v>19400</v>
      </c>
      <c r="M17" s="39" t="n">
        <f aca="false">$C17+M$4*$D17-$E17</f>
        <v>24250</v>
      </c>
      <c r="N17" s="39" t="n">
        <f aca="false">$C17+N$4*$D17-$E17</f>
        <v>29100</v>
      </c>
      <c r="O17" s="39" t="n">
        <f aca="false">$C17+O$4*$D17-$E17</f>
        <v>33950</v>
      </c>
      <c r="P17" s="39" t="n">
        <f aca="false">$C17+P$4*$D17-$E17</f>
        <v>38800</v>
      </c>
      <c r="Q17" s="39" t="n">
        <f aca="false">$C17+Q$4*$D17-$E17</f>
        <v>43650</v>
      </c>
      <c r="R17" s="39" t="n">
        <f aca="false">$C17+R$4*$D17-$E17</f>
        <v>48500</v>
      </c>
    </row>
    <row r="18" customFormat="false" ht="15" hidden="false" customHeight="false" outlineLevel="0" collapsed="false">
      <c r="A18" s="12" t="s">
        <v>868</v>
      </c>
      <c r="B18" s="30" t="str">
        <f aca="false">'Análisis Compactación'!A18</f>
        <v>SDR | SAKAI | SV900-1</v>
      </c>
      <c r="C18" s="32" t="n">
        <f aca="false">'Análisis Compactación'!F18</f>
        <v>0</v>
      </c>
      <c r="D18" s="34" t="n">
        <f aca="false">'Análisis Compactación'!AB18</f>
        <v>4.85</v>
      </c>
      <c r="E18" s="32" t="n">
        <f aca="false">'Análisis Compactación'!J18</f>
        <v>0</v>
      </c>
      <c r="F18" s="39" t="n">
        <f aca="false">$C18+F$4*$D18-$E18</f>
        <v>0</v>
      </c>
      <c r="G18" s="39" t="n">
        <f aca="false">$C18+G$4*$D18-$E18</f>
        <v>4850</v>
      </c>
      <c r="H18" s="39" t="n">
        <f aca="false">$C18+H$4*$D18-$E18</f>
        <v>7275</v>
      </c>
      <c r="I18" s="39" t="n">
        <f aca="false">$C18+I$4*$D18-$E18</f>
        <v>9700</v>
      </c>
      <c r="J18" s="39" t="n">
        <f aca="false">$C18+J$4*$D18-$E18</f>
        <v>12125</v>
      </c>
      <c r="K18" s="39" t="n">
        <f aca="false">$C18+K$4*$D18-$E18</f>
        <v>14550</v>
      </c>
      <c r="L18" s="39" t="n">
        <f aca="false">$C18+L$4*$D18-$E18</f>
        <v>19400</v>
      </c>
      <c r="M18" s="39" t="n">
        <f aca="false">$C18+M$4*$D18-$E18</f>
        <v>24250</v>
      </c>
      <c r="N18" s="39" t="n">
        <f aca="false">$C18+N$4*$D18-$E18</f>
        <v>29100</v>
      </c>
      <c r="O18" s="39" t="n">
        <f aca="false">$C18+O$4*$D18-$E18</f>
        <v>33950</v>
      </c>
      <c r="P18" s="39" t="n">
        <f aca="false">$C18+P$4*$D18-$E18</f>
        <v>38800</v>
      </c>
      <c r="Q18" s="39" t="n">
        <f aca="false">$C18+Q$4*$D18-$E18</f>
        <v>43650</v>
      </c>
      <c r="R18" s="39" t="n">
        <f aca="false">$C18+R$4*$D18-$E18</f>
        <v>48500</v>
      </c>
    </row>
    <row r="19" customFormat="false" ht="15" hidden="false" customHeight="false" outlineLevel="0" collapsed="false">
      <c r="A19" s="12" t="s">
        <v>868</v>
      </c>
      <c r="B19" s="30" t="str">
        <f aca="false">'Análisis Compactación'!A19</f>
        <v>SDR | DYNAPAC | CA25 D-Rhino</v>
      </c>
      <c r="C19" s="32" t="n">
        <f aca="false">'Análisis Compactación'!F19</f>
        <v>90000</v>
      </c>
      <c r="D19" s="34" t="n">
        <f aca="false">'Análisis Compactación'!AB19</f>
        <v>21.17</v>
      </c>
      <c r="E19" s="32" t="n">
        <f aca="false">'Análisis Compactación'!J19</f>
        <v>0</v>
      </c>
      <c r="F19" s="39" t="n">
        <f aca="false">$C19+F$4*$D19-$E19</f>
        <v>90000</v>
      </c>
      <c r="G19" s="39" t="n">
        <f aca="false">$C19+G$4*$D19-$E19</f>
        <v>111170</v>
      </c>
      <c r="H19" s="39" t="n">
        <f aca="false">$C19+H$4*$D19-$E19</f>
        <v>121755</v>
      </c>
      <c r="I19" s="39" t="n">
        <f aca="false">$C19+I$4*$D19-$E19</f>
        <v>132340</v>
      </c>
      <c r="J19" s="39" t="n">
        <f aca="false">$C19+J$4*$D19-$E19</f>
        <v>142925</v>
      </c>
      <c r="K19" s="39" t="n">
        <f aca="false">$C19+K$4*$D19-$E19</f>
        <v>153510</v>
      </c>
      <c r="L19" s="39" t="n">
        <f aca="false">$C19+L$4*$D19-$E19</f>
        <v>174680</v>
      </c>
      <c r="M19" s="39" t="n">
        <f aca="false">$C19+M$4*$D19-$E19</f>
        <v>195850</v>
      </c>
      <c r="N19" s="39" t="n">
        <f aca="false">$C19+N$4*$D19-$E19</f>
        <v>217020</v>
      </c>
      <c r="O19" s="39" t="n">
        <f aca="false">$C19+O$4*$D19-$E19</f>
        <v>238190</v>
      </c>
      <c r="P19" s="39" t="n">
        <f aca="false">$C19+P$4*$D19-$E19</f>
        <v>259360</v>
      </c>
      <c r="Q19" s="39" t="n">
        <f aca="false">$C19+Q$4*$D19-$E19</f>
        <v>280530</v>
      </c>
      <c r="R19" s="39" t="n">
        <f aca="false">$C19+R$4*$D19-$E19</f>
        <v>301700</v>
      </c>
    </row>
    <row r="20" customFormat="false" ht="15" hidden="false" customHeight="false" outlineLevel="0" collapsed="false">
      <c r="A20" s="12" t="s">
        <v>868</v>
      </c>
      <c r="B20" s="30" t="str">
        <f aca="false">'Análisis Compactación'!A20</f>
        <v>SDR | DYNAPAC | CA35 D-Rhino</v>
      </c>
      <c r="C20" s="32" t="n">
        <f aca="false">'Análisis Compactación'!F20</f>
        <v>90000</v>
      </c>
      <c r="D20" s="34" t="n">
        <f aca="false">'Análisis Compactación'!AB20</f>
        <v>21.17</v>
      </c>
      <c r="E20" s="32" t="n">
        <f aca="false">'Análisis Compactación'!J20</f>
        <v>0</v>
      </c>
      <c r="F20" s="39" t="n">
        <f aca="false">$C20+F$4*$D20-$E20</f>
        <v>90000</v>
      </c>
      <c r="G20" s="39" t="n">
        <f aca="false">$C20+G$4*$D20-$E20</f>
        <v>111170</v>
      </c>
      <c r="H20" s="39" t="n">
        <f aca="false">$C20+H$4*$D20-$E20</f>
        <v>121755</v>
      </c>
      <c r="I20" s="39" t="n">
        <f aca="false">$C20+I$4*$D20-$E20</f>
        <v>132340</v>
      </c>
      <c r="J20" s="39" t="n">
        <f aca="false">$C20+J$4*$D20-$E20</f>
        <v>142925</v>
      </c>
      <c r="K20" s="39" t="n">
        <f aca="false">$C20+K$4*$D20-$E20</f>
        <v>153510</v>
      </c>
      <c r="L20" s="39" t="n">
        <f aca="false">$C20+L$4*$D20-$E20</f>
        <v>174680</v>
      </c>
      <c r="M20" s="39" t="n">
        <f aca="false">$C20+M$4*$D20-$E20</f>
        <v>195850</v>
      </c>
      <c r="N20" s="39" t="n">
        <f aca="false">$C20+N$4*$D20-$E20</f>
        <v>217020</v>
      </c>
      <c r="O20" s="39" t="n">
        <f aca="false">$C20+O$4*$D20-$E20</f>
        <v>238190</v>
      </c>
      <c r="P20" s="39" t="n">
        <f aca="false">$C20+P$4*$D20-$E20</f>
        <v>259360</v>
      </c>
      <c r="Q20" s="39" t="n">
        <f aca="false">$C20+Q$4*$D20-$E20</f>
        <v>280530</v>
      </c>
      <c r="R20" s="39" t="n">
        <f aca="false">$C20+R$4*$D20-$E20</f>
        <v>301700</v>
      </c>
    </row>
    <row r="21" customFormat="false" ht="15" hidden="false" customHeight="false" outlineLevel="0" collapsed="false">
      <c r="A21" s="12" t="s">
        <v>868</v>
      </c>
      <c r="B21" s="30" t="str">
        <f aca="false">'Análisis Compactación'!A21</f>
        <v>SDR | DYNAPAC | CA2500D</v>
      </c>
      <c r="C21" s="32" t="n">
        <f aca="false">'Análisis Compactación'!F21</f>
        <v>0</v>
      </c>
      <c r="D21" s="34" t="n">
        <f aca="false">'Análisis Compactación'!AB21</f>
        <v>4.85</v>
      </c>
      <c r="E21" s="32" t="n">
        <f aca="false">'Análisis Compactación'!J21</f>
        <v>0</v>
      </c>
      <c r="F21" s="39" t="n">
        <f aca="false">$C21+F$4*$D21-$E21</f>
        <v>0</v>
      </c>
      <c r="G21" s="39" t="n">
        <f aca="false">$C21+G$4*$D21-$E21</f>
        <v>4850</v>
      </c>
      <c r="H21" s="39" t="n">
        <f aca="false">$C21+H$4*$D21-$E21</f>
        <v>7275</v>
      </c>
      <c r="I21" s="39" t="n">
        <f aca="false">$C21+I$4*$D21-$E21</f>
        <v>9700</v>
      </c>
      <c r="J21" s="39" t="n">
        <f aca="false">$C21+J$4*$D21-$E21</f>
        <v>12125</v>
      </c>
      <c r="K21" s="39" t="n">
        <f aca="false">$C21+K$4*$D21-$E21</f>
        <v>14550</v>
      </c>
      <c r="L21" s="39" t="n">
        <f aca="false">$C21+L$4*$D21-$E21</f>
        <v>19400</v>
      </c>
      <c r="M21" s="39" t="n">
        <f aca="false">$C21+M$4*$D21-$E21</f>
        <v>24250</v>
      </c>
      <c r="N21" s="39" t="n">
        <f aca="false">$C21+N$4*$D21-$E21</f>
        <v>29100</v>
      </c>
      <c r="O21" s="39" t="n">
        <f aca="false">$C21+O$4*$D21-$E21</f>
        <v>33950</v>
      </c>
      <c r="P21" s="39" t="n">
        <f aca="false">$C21+P$4*$D21-$E21</f>
        <v>38800</v>
      </c>
      <c r="Q21" s="39" t="n">
        <f aca="false">$C21+Q$4*$D21-$E21</f>
        <v>43650</v>
      </c>
      <c r="R21" s="39" t="n">
        <f aca="false">$C21+R$4*$D21-$E21</f>
        <v>48500</v>
      </c>
    </row>
    <row r="22" customFormat="false" ht="15" hidden="false" customHeight="false" outlineLevel="0" collapsed="false">
      <c r="A22" s="12" t="s">
        <v>868</v>
      </c>
      <c r="B22" s="30" t="str">
        <f aca="false">'Análisis Compactación'!A22</f>
        <v>SDR | DYNAPAC | CA3500D</v>
      </c>
      <c r="C22" s="32" t="n">
        <f aca="false">'Análisis Compactación'!F22</f>
        <v>90000</v>
      </c>
      <c r="D22" s="34" t="n">
        <f aca="false">'Análisis Compactación'!AB22</f>
        <v>21.17</v>
      </c>
      <c r="E22" s="32" t="n">
        <f aca="false">'Análisis Compactación'!J22</f>
        <v>0</v>
      </c>
      <c r="F22" s="39" t="n">
        <f aca="false">$C22+F$4*$D22-$E22</f>
        <v>90000</v>
      </c>
      <c r="G22" s="39" t="n">
        <f aca="false">$C22+G$4*$D22-$E22</f>
        <v>111170</v>
      </c>
      <c r="H22" s="39" t="n">
        <f aca="false">$C22+H$4*$D22-$E22</f>
        <v>121755</v>
      </c>
      <c r="I22" s="39" t="n">
        <f aca="false">$C22+I$4*$D22-$E22</f>
        <v>132340</v>
      </c>
      <c r="J22" s="39" t="n">
        <f aca="false">$C22+J$4*$D22-$E22</f>
        <v>142925</v>
      </c>
      <c r="K22" s="39" t="n">
        <f aca="false">$C22+K$4*$D22-$E22</f>
        <v>153510</v>
      </c>
      <c r="L22" s="39" t="n">
        <f aca="false">$C22+L$4*$D22-$E22</f>
        <v>174680</v>
      </c>
      <c r="M22" s="39" t="n">
        <f aca="false">$C22+M$4*$D22-$E22</f>
        <v>195850</v>
      </c>
      <c r="N22" s="39" t="n">
        <f aca="false">$C22+N$4*$D22-$E22</f>
        <v>217020</v>
      </c>
      <c r="O22" s="39" t="n">
        <f aca="false">$C22+O$4*$D22-$E22</f>
        <v>238190</v>
      </c>
      <c r="P22" s="39" t="n">
        <f aca="false">$C22+P$4*$D22-$E22</f>
        <v>259360</v>
      </c>
      <c r="Q22" s="39" t="n">
        <f aca="false">$C22+Q$4*$D22-$E22</f>
        <v>280530</v>
      </c>
      <c r="R22" s="39" t="n">
        <f aca="false">$C22+R$4*$D22-$E22</f>
        <v>301700</v>
      </c>
    </row>
    <row r="23" customFormat="false" ht="15" hidden="false" customHeight="false" outlineLevel="0" collapsed="false">
      <c r="A23" s="12" t="s">
        <v>868</v>
      </c>
      <c r="B23" s="30" t="str">
        <f aca="false">'Análisis Compactación'!A23</f>
        <v>SDR | DYNAPAC | CA4500D</v>
      </c>
      <c r="C23" s="32" t="n">
        <f aca="false">'Análisis Compactación'!F23</f>
        <v>0</v>
      </c>
      <c r="D23" s="34" t="n">
        <f aca="false">'Análisis Compactación'!AB23</f>
        <v>4.85</v>
      </c>
      <c r="E23" s="32" t="n">
        <f aca="false">'Análisis Compactación'!J23</f>
        <v>0</v>
      </c>
      <c r="F23" s="39" t="n">
        <f aca="false">$C23+F$4*$D23-$E23</f>
        <v>0</v>
      </c>
      <c r="G23" s="39" t="n">
        <f aca="false">$C23+G$4*$D23-$E23</f>
        <v>4850</v>
      </c>
      <c r="H23" s="39" t="n">
        <f aca="false">$C23+H$4*$D23-$E23</f>
        <v>7275</v>
      </c>
      <c r="I23" s="39" t="n">
        <f aca="false">$C23+I$4*$D23-$E23</f>
        <v>9700</v>
      </c>
      <c r="J23" s="39" t="n">
        <f aca="false">$C23+J$4*$D23-$E23</f>
        <v>12125</v>
      </c>
      <c r="K23" s="39" t="n">
        <f aca="false">$C23+K$4*$D23-$E23</f>
        <v>14550</v>
      </c>
      <c r="L23" s="39" t="n">
        <f aca="false">$C23+L$4*$D23-$E23</f>
        <v>19400</v>
      </c>
      <c r="M23" s="39" t="n">
        <f aca="false">$C23+M$4*$D23-$E23</f>
        <v>24250</v>
      </c>
      <c r="N23" s="39" t="n">
        <f aca="false">$C23+N$4*$D23-$E23</f>
        <v>29100</v>
      </c>
      <c r="O23" s="39" t="n">
        <f aca="false">$C23+O$4*$D23-$E23</f>
        <v>33950</v>
      </c>
      <c r="P23" s="39" t="n">
        <f aca="false">$C23+P$4*$D23-$E23</f>
        <v>38800</v>
      </c>
      <c r="Q23" s="39" t="n">
        <f aca="false">$C23+Q$4*$D23-$E23</f>
        <v>43650</v>
      </c>
      <c r="R23" s="39" t="n">
        <f aca="false">$C23+R$4*$D23-$E23</f>
        <v>48500</v>
      </c>
    </row>
    <row r="24" customFormat="false" ht="15" hidden="false" customHeight="false" outlineLevel="0" collapsed="false">
      <c r="A24" s="12" t="s">
        <v>868</v>
      </c>
      <c r="B24" s="30" t="str">
        <f aca="false">'Análisis Compactación'!A24</f>
        <v>SDR | DYNAPAC REDLINE | DRS120D</v>
      </c>
      <c r="C24" s="32" t="n">
        <f aca="false">'Análisis Compactación'!F24</f>
        <v>0</v>
      </c>
      <c r="D24" s="34" t="n">
        <f aca="false">'Análisis Compactación'!AB24</f>
        <v>4.85</v>
      </c>
      <c r="E24" s="32" t="n">
        <f aca="false">'Análisis Compactación'!J24</f>
        <v>0</v>
      </c>
      <c r="F24" s="39" t="n">
        <f aca="false">$C24+F$4*$D24-$E24</f>
        <v>0</v>
      </c>
      <c r="G24" s="39" t="n">
        <f aca="false">$C24+G$4*$D24-$E24</f>
        <v>4850</v>
      </c>
      <c r="H24" s="39" t="n">
        <f aca="false">$C24+H$4*$D24-$E24</f>
        <v>7275</v>
      </c>
      <c r="I24" s="39" t="n">
        <f aca="false">$C24+I$4*$D24-$E24</f>
        <v>9700</v>
      </c>
      <c r="J24" s="39" t="n">
        <f aca="false">$C24+J$4*$D24-$E24</f>
        <v>12125</v>
      </c>
      <c r="K24" s="39" t="n">
        <f aca="false">$C24+K$4*$D24-$E24</f>
        <v>14550</v>
      </c>
      <c r="L24" s="39" t="n">
        <f aca="false">$C24+L$4*$D24-$E24</f>
        <v>19400</v>
      </c>
      <c r="M24" s="39" t="n">
        <f aca="false">$C24+M$4*$D24-$E24</f>
        <v>24250</v>
      </c>
      <c r="N24" s="39" t="n">
        <f aca="false">$C24+N$4*$D24-$E24</f>
        <v>29100</v>
      </c>
      <c r="O24" s="39" t="n">
        <f aca="false">$C24+O$4*$D24-$E24</f>
        <v>33950</v>
      </c>
      <c r="P24" s="39" t="n">
        <f aca="false">$C24+P$4*$D24-$E24</f>
        <v>38800</v>
      </c>
      <c r="Q24" s="39" t="n">
        <f aca="false">$C24+Q$4*$D24-$E24</f>
        <v>43650</v>
      </c>
      <c r="R24" s="39" t="n">
        <f aca="false">$C24+R$4*$D24-$E24</f>
        <v>48500</v>
      </c>
    </row>
    <row r="25" customFormat="false" ht="15" hidden="false" customHeight="false" outlineLevel="0" collapsed="false">
      <c r="A25" s="12" t="s">
        <v>868</v>
      </c>
      <c r="B25" s="30" t="str">
        <f aca="false">'Análisis Compactación'!A25</f>
        <v>SDR | HAMM | HC110</v>
      </c>
      <c r="C25" s="32" t="n">
        <f aca="false">'Análisis Compactación'!F25</f>
        <v>91845.1</v>
      </c>
      <c r="D25" s="34" t="n">
        <f aca="false">'Análisis Compactación'!AB25</f>
        <v>21.17</v>
      </c>
      <c r="E25" s="32" t="n">
        <f aca="false">'Análisis Compactación'!J25</f>
        <v>0</v>
      </c>
      <c r="F25" s="39" t="n">
        <f aca="false">$C25+F$4*$D25-$E25</f>
        <v>91845.1</v>
      </c>
      <c r="G25" s="39" t="n">
        <f aca="false">$C25+G$4*$D25-$E25</f>
        <v>113015.1</v>
      </c>
      <c r="H25" s="39" t="n">
        <f aca="false">$C25+H$4*$D25-$E25</f>
        <v>123600.1</v>
      </c>
      <c r="I25" s="39" t="n">
        <f aca="false">$C25+I$4*$D25-$E25</f>
        <v>134185.1</v>
      </c>
      <c r="J25" s="39" t="n">
        <f aca="false">$C25+J$4*$D25-$E25</f>
        <v>144770.1</v>
      </c>
      <c r="K25" s="39" t="n">
        <f aca="false">$C25+K$4*$D25-$E25</f>
        <v>155355.1</v>
      </c>
      <c r="L25" s="39" t="n">
        <f aca="false">$C25+L$4*$D25-$E25</f>
        <v>176525.1</v>
      </c>
      <c r="M25" s="39" t="n">
        <f aca="false">$C25+M$4*$D25-$E25</f>
        <v>197695.1</v>
      </c>
      <c r="N25" s="39" t="n">
        <f aca="false">$C25+N$4*$D25-$E25</f>
        <v>218865.1</v>
      </c>
      <c r="O25" s="39" t="n">
        <f aca="false">$C25+O$4*$D25-$E25</f>
        <v>240035.1</v>
      </c>
      <c r="P25" s="39" t="n">
        <f aca="false">$C25+P$4*$D25-$E25</f>
        <v>261205.1</v>
      </c>
      <c r="Q25" s="39" t="n">
        <f aca="false">$C25+Q$4*$D25-$E25</f>
        <v>282375.1</v>
      </c>
      <c r="R25" s="39" t="n">
        <f aca="false">$C25+R$4*$D25-$E25</f>
        <v>303545.1</v>
      </c>
    </row>
    <row r="26" customFormat="false" ht="15" hidden="false" customHeight="false" outlineLevel="0" collapsed="false">
      <c r="A26" s="12" t="s">
        <v>868</v>
      </c>
      <c r="B26" s="30" t="str">
        <f aca="false">'Análisis Compactación'!A26</f>
        <v>SDR | HAMM | HC119</v>
      </c>
      <c r="C26" s="32" t="n">
        <f aca="false">'Análisis Compactación'!F26</f>
        <v>91845.1</v>
      </c>
      <c r="D26" s="34" t="n">
        <f aca="false">'Análisis Compactación'!AB26</f>
        <v>21.17</v>
      </c>
      <c r="E26" s="32" t="n">
        <f aca="false">'Análisis Compactación'!J26</f>
        <v>0</v>
      </c>
      <c r="F26" s="39" t="n">
        <f aca="false">$C26+F$4*$D26-$E26</f>
        <v>91845.1</v>
      </c>
      <c r="G26" s="39" t="n">
        <f aca="false">$C26+G$4*$D26-$E26</f>
        <v>113015.1</v>
      </c>
      <c r="H26" s="39" t="n">
        <f aca="false">$C26+H$4*$D26-$E26</f>
        <v>123600.1</v>
      </c>
      <c r="I26" s="39" t="n">
        <f aca="false">$C26+I$4*$D26-$E26</f>
        <v>134185.1</v>
      </c>
      <c r="J26" s="39" t="n">
        <f aca="false">$C26+J$4*$D26-$E26</f>
        <v>144770.1</v>
      </c>
      <c r="K26" s="39" t="n">
        <f aca="false">$C26+K$4*$D26-$E26</f>
        <v>155355.1</v>
      </c>
      <c r="L26" s="39" t="n">
        <f aca="false">$C26+L$4*$D26-$E26</f>
        <v>176525.1</v>
      </c>
      <c r="M26" s="39" t="n">
        <f aca="false">$C26+M$4*$D26-$E26</f>
        <v>197695.1</v>
      </c>
      <c r="N26" s="39" t="n">
        <f aca="false">$C26+N$4*$D26-$E26</f>
        <v>218865.1</v>
      </c>
      <c r="O26" s="39" t="n">
        <f aca="false">$C26+O$4*$D26-$E26</f>
        <v>240035.1</v>
      </c>
      <c r="P26" s="39" t="n">
        <f aca="false">$C26+P$4*$D26-$E26</f>
        <v>261205.1</v>
      </c>
      <c r="Q26" s="39" t="n">
        <f aca="false">$C26+Q$4*$D26-$E26</f>
        <v>282375.1</v>
      </c>
      <c r="R26" s="39" t="n">
        <f aca="false">$C26+R$4*$D26-$E26</f>
        <v>303545.1</v>
      </c>
    </row>
    <row r="27" customFormat="false" ht="15" hidden="false" customHeight="false" outlineLevel="0" collapsed="false">
      <c r="A27" s="12" t="s">
        <v>868</v>
      </c>
      <c r="B27" s="30" t="str">
        <f aca="false">'Análisis Compactación'!A27</f>
        <v>SDR | HAMM | H13i</v>
      </c>
      <c r="C27" s="32" t="n">
        <f aca="false">'Análisis Compactación'!F27</f>
        <v>0</v>
      </c>
      <c r="D27" s="34" t="n">
        <f aca="false">'Análisis Compactación'!AB27</f>
        <v>4.85</v>
      </c>
      <c r="E27" s="32" t="n">
        <f aca="false">'Análisis Compactación'!J27</f>
        <v>0</v>
      </c>
      <c r="F27" s="39" t="n">
        <f aca="false">$C27+F$4*$D27-$E27</f>
        <v>0</v>
      </c>
      <c r="G27" s="39" t="n">
        <f aca="false">$C27+G$4*$D27-$E27</f>
        <v>4850</v>
      </c>
      <c r="H27" s="39" t="n">
        <f aca="false">$C27+H$4*$D27-$E27</f>
        <v>7275</v>
      </c>
      <c r="I27" s="39" t="n">
        <f aca="false">$C27+I$4*$D27-$E27</f>
        <v>9700</v>
      </c>
      <c r="J27" s="39" t="n">
        <f aca="false">$C27+J$4*$D27-$E27</f>
        <v>12125</v>
      </c>
      <c r="K27" s="39" t="n">
        <f aca="false">$C27+K$4*$D27-$E27</f>
        <v>14550</v>
      </c>
      <c r="L27" s="39" t="n">
        <f aca="false">$C27+L$4*$D27-$E27</f>
        <v>19400</v>
      </c>
      <c r="M27" s="39" t="n">
        <f aca="false">$C27+M$4*$D27-$E27</f>
        <v>24250</v>
      </c>
      <c r="N27" s="39" t="n">
        <f aca="false">$C27+N$4*$D27-$E27</f>
        <v>29100</v>
      </c>
      <c r="O27" s="39" t="n">
        <f aca="false">$C27+O$4*$D27-$E27</f>
        <v>33950</v>
      </c>
      <c r="P27" s="39" t="n">
        <f aca="false">$C27+P$4*$D27-$E27</f>
        <v>38800</v>
      </c>
      <c r="Q27" s="39" t="n">
        <f aca="false">$C27+Q$4*$D27-$E27</f>
        <v>43650</v>
      </c>
      <c r="R27" s="39" t="n">
        <f aca="false">$C27+R$4*$D27-$E27</f>
        <v>48500</v>
      </c>
    </row>
    <row r="28" customFormat="false" ht="15" hidden="false" customHeight="false" outlineLevel="0" collapsed="false">
      <c r="A28" s="12" t="s">
        <v>868</v>
      </c>
      <c r="B28" s="30" t="str">
        <f aca="false">'Análisis Compactación'!A28</f>
        <v>SDR | HAMM | H16i</v>
      </c>
      <c r="C28" s="32" t="n">
        <f aca="false">'Análisis Compactación'!F28</f>
        <v>0</v>
      </c>
      <c r="D28" s="34" t="n">
        <f aca="false">'Análisis Compactación'!AB28</f>
        <v>4.85</v>
      </c>
      <c r="E28" s="32" t="n">
        <f aca="false">'Análisis Compactación'!J28</f>
        <v>0</v>
      </c>
      <c r="F28" s="39" t="n">
        <f aca="false">$C28+F$4*$D28-$E28</f>
        <v>0</v>
      </c>
      <c r="G28" s="39" t="n">
        <f aca="false">$C28+G$4*$D28-$E28</f>
        <v>4850</v>
      </c>
      <c r="H28" s="39" t="n">
        <f aca="false">$C28+H$4*$D28-$E28</f>
        <v>7275</v>
      </c>
      <c r="I28" s="39" t="n">
        <f aca="false">$C28+I$4*$D28-$E28</f>
        <v>9700</v>
      </c>
      <c r="J28" s="39" t="n">
        <f aca="false">$C28+J$4*$D28-$E28</f>
        <v>12125</v>
      </c>
      <c r="K28" s="39" t="n">
        <f aca="false">$C28+K$4*$D28-$E28</f>
        <v>14550</v>
      </c>
      <c r="L28" s="39" t="n">
        <f aca="false">$C28+L$4*$D28-$E28</f>
        <v>19400</v>
      </c>
      <c r="M28" s="39" t="n">
        <f aca="false">$C28+M$4*$D28-$E28</f>
        <v>24250</v>
      </c>
      <c r="N28" s="39" t="n">
        <f aca="false">$C28+N$4*$D28-$E28</f>
        <v>29100</v>
      </c>
      <c r="O28" s="39" t="n">
        <f aca="false">$C28+O$4*$D28-$E28</f>
        <v>33950</v>
      </c>
      <c r="P28" s="39" t="n">
        <f aca="false">$C28+P$4*$D28-$E28</f>
        <v>38800</v>
      </c>
      <c r="Q28" s="39" t="n">
        <f aca="false">$C28+Q$4*$D28-$E28</f>
        <v>43650</v>
      </c>
      <c r="R28" s="39" t="n">
        <f aca="false">$C28+R$4*$D28-$E28</f>
        <v>48500</v>
      </c>
    </row>
    <row r="29" customFormat="false" ht="15" hidden="false" customHeight="false" outlineLevel="0" collapsed="false">
      <c r="A29" s="12" t="s">
        <v>868</v>
      </c>
      <c r="B29" s="30" t="str">
        <f aca="false">'Análisis Compactación'!A29</f>
        <v>SDR | HAMM | H18i</v>
      </c>
      <c r="C29" s="32" t="n">
        <f aca="false">'Análisis Compactación'!F29</f>
        <v>0</v>
      </c>
      <c r="D29" s="34" t="n">
        <f aca="false">'Análisis Compactación'!AB29</f>
        <v>4.85</v>
      </c>
      <c r="E29" s="32" t="n">
        <f aca="false">'Análisis Compactación'!J29</f>
        <v>0</v>
      </c>
      <c r="F29" s="39" t="n">
        <f aca="false">$C29+F$4*$D29-$E29</f>
        <v>0</v>
      </c>
      <c r="G29" s="39" t="n">
        <f aca="false">$C29+G$4*$D29-$E29</f>
        <v>4850</v>
      </c>
      <c r="H29" s="39" t="n">
        <f aca="false">$C29+H$4*$D29-$E29</f>
        <v>7275</v>
      </c>
      <c r="I29" s="39" t="n">
        <f aca="false">$C29+I$4*$D29-$E29</f>
        <v>9700</v>
      </c>
      <c r="J29" s="39" t="n">
        <f aca="false">$C29+J$4*$D29-$E29</f>
        <v>12125</v>
      </c>
      <c r="K29" s="39" t="n">
        <f aca="false">$C29+K$4*$D29-$E29</f>
        <v>14550</v>
      </c>
      <c r="L29" s="39" t="n">
        <f aca="false">$C29+L$4*$D29-$E29</f>
        <v>19400</v>
      </c>
      <c r="M29" s="39" t="n">
        <f aca="false">$C29+M$4*$D29-$E29</f>
        <v>24250</v>
      </c>
      <c r="N29" s="39" t="n">
        <f aca="false">$C29+N$4*$D29-$E29</f>
        <v>29100</v>
      </c>
      <c r="O29" s="39" t="n">
        <f aca="false">$C29+O$4*$D29-$E29</f>
        <v>33950</v>
      </c>
      <c r="P29" s="39" t="n">
        <f aca="false">$C29+P$4*$D29-$E29</f>
        <v>38800</v>
      </c>
      <c r="Q29" s="39" t="n">
        <f aca="false">$C29+Q$4*$D29-$E29</f>
        <v>43650</v>
      </c>
      <c r="R29" s="39" t="n">
        <f aca="false">$C29+R$4*$D29-$E29</f>
        <v>48500</v>
      </c>
    </row>
    <row r="30" customFormat="false" ht="15" hidden="false" customHeight="false" outlineLevel="0" collapsed="false">
      <c r="A30" s="12" t="s">
        <v>868</v>
      </c>
      <c r="B30" s="30" t="str">
        <f aca="false">'Análisis Compactación'!A30</f>
        <v>SDR | HAMM | H25i</v>
      </c>
      <c r="C30" s="32" t="n">
        <f aca="false">'Análisis Compactación'!F30</f>
        <v>0</v>
      </c>
      <c r="D30" s="34" t="n">
        <f aca="false">'Análisis Compactación'!AB30</f>
        <v>4.85</v>
      </c>
      <c r="E30" s="32" t="n">
        <f aca="false">'Análisis Compactación'!J30</f>
        <v>0</v>
      </c>
      <c r="F30" s="39" t="n">
        <f aca="false">$C30+F$4*$D30-$E30</f>
        <v>0</v>
      </c>
      <c r="G30" s="39" t="n">
        <f aca="false">$C30+G$4*$D30-$E30</f>
        <v>4850</v>
      </c>
      <c r="H30" s="39" t="n">
        <f aca="false">$C30+H$4*$D30-$E30</f>
        <v>7275</v>
      </c>
      <c r="I30" s="39" t="n">
        <f aca="false">$C30+I$4*$D30-$E30</f>
        <v>9700</v>
      </c>
      <c r="J30" s="39" t="n">
        <f aca="false">$C30+J$4*$D30-$E30</f>
        <v>12125</v>
      </c>
      <c r="K30" s="39" t="n">
        <f aca="false">$C30+K$4*$D30-$E30</f>
        <v>14550</v>
      </c>
      <c r="L30" s="39" t="n">
        <f aca="false">$C30+L$4*$D30-$E30</f>
        <v>19400</v>
      </c>
      <c r="M30" s="39" t="n">
        <f aca="false">$C30+M$4*$D30-$E30</f>
        <v>24250</v>
      </c>
      <c r="N30" s="39" t="n">
        <f aca="false">$C30+N$4*$D30-$E30</f>
        <v>29100</v>
      </c>
      <c r="O30" s="39" t="n">
        <f aca="false">$C30+O$4*$D30-$E30</f>
        <v>33950</v>
      </c>
      <c r="P30" s="39" t="n">
        <f aca="false">$C30+P$4*$D30-$E30</f>
        <v>38800</v>
      </c>
      <c r="Q30" s="39" t="n">
        <f aca="false">$C30+Q$4*$D30-$E30</f>
        <v>43650</v>
      </c>
      <c r="R30" s="39" t="n">
        <f aca="false">$C30+R$4*$D30-$E30</f>
        <v>48500</v>
      </c>
    </row>
    <row r="31" customFormat="false" ht="15" hidden="false" customHeight="false" outlineLevel="0" collapsed="false">
      <c r="A31" s="12" t="s">
        <v>868</v>
      </c>
      <c r="B31" s="30" t="str">
        <f aca="false">'Análisis Compactación'!A31</f>
        <v>SDR | CATERPILLAR | CS10GC</v>
      </c>
      <c r="C31" s="32" t="n">
        <f aca="false">'Análisis Compactación'!F31</f>
        <v>105298.85</v>
      </c>
      <c r="D31" s="34" t="n">
        <f aca="false">'Análisis Compactación'!AB31</f>
        <v>22.25</v>
      </c>
      <c r="E31" s="32" t="n">
        <f aca="false">'Análisis Compactación'!J31</f>
        <v>0</v>
      </c>
      <c r="F31" s="39" t="n">
        <f aca="false">$C31+F$4*$D31-$E31</f>
        <v>105298.85</v>
      </c>
      <c r="G31" s="39" t="n">
        <f aca="false">$C31+G$4*$D31-$E31</f>
        <v>127548.85</v>
      </c>
      <c r="H31" s="39" t="n">
        <f aca="false">$C31+H$4*$D31-$E31</f>
        <v>138673.85</v>
      </c>
      <c r="I31" s="39" t="n">
        <f aca="false">$C31+I$4*$D31-$E31</f>
        <v>149798.85</v>
      </c>
      <c r="J31" s="39" t="n">
        <f aca="false">$C31+J$4*$D31-$E31</f>
        <v>160923.85</v>
      </c>
      <c r="K31" s="39" t="n">
        <f aca="false">$C31+K$4*$D31-$E31</f>
        <v>172048.85</v>
      </c>
      <c r="L31" s="39" t="n">
        <f aca="false">$C31+L$4*$D31-$E31</f>
        <v>194298.85</v>
      </c>
      <c r="M31" s="39" t="n">
        <f aca="false">$C31+M$4*$D31-$E31</f>
        <v>216548.85</v>
      </c>
      <c r="N31" s="39" t="n">
        <f aca="false">$C31+N$4*$D31-$E31</f>
        <v>238798.85</v>
      </c>
      <c r="O31" s="39" t="n">
        <f aca="false">$C31+O$4*$D31-$E31</f>
        <v>261048.85</v>
      </c>
      <c r="P31" s="39" t="n">
        <f aca="false">$C31+P$4*$D31-$E31</f>
        <v>283298.85</v>
      </c>
      <c r="Q31" s="39" t="n">
        <f aca="false">$C31+Q$4*$D31-$E31</f>
        <v>305548.85</v>
      </c>
      <c r="R31" s="39" t="n">
        <f aca="false">$C31+R$4*$D31-$E31</f>
        <v>327798.85</v>
      </c>
    </row>
    <row r="32" customFormat="false" ht="15" hidden="false" customHeight="false" outlineLevel="0" collapsed="false">
      <c r="A32" s="12" t="s">
        <v>868</v>
      </c>
      <c r="B32" s="30" t="str">
        <f aca="false">'Análisis Compactación'!A32</f>
        <v>SDR | CATERPILLAR | CS11GC</v>
      </c>
      <c r="C32" s="32" t="n">
        <f aca="false">'Análisis Compactación'!F32</f>
        <v>105298.85</v>
      </c>
      <c r="D32" s="34" t="n">
        <f aca="false">'Análisis Compactación'!AB32</f>
        <v>22.25</v>
      </c>
      <c r="E32" s="32" t="n">
        <f aca="false">'Análisis Compactación'!J32</f>
        <v>0</v>
      </c>
      <c r="F32" s="39" t="n">
        <f aca="false">$C32+F$4*$D32-$E32</f>
        <v>105298.85</v>
      </c>
      <c r="G32" s="39" t="n">
        <f aca="false">$C32+G$4*$D32-$E32</f>
        <v>127548.85</v>
      </c>
      <c r="H32" s="39" t="n">
        <f aca="false">$C32+H$4*$D32-$E32</f>
        <v>138673.85</v>
      </c>
      <c r="I32" s="39" t="n">
        <f aca="false">$C32+I$4*$D32-$E32</f>
        <v>149798.85</v>
      </c>
      <c r="J32" s="39" t="n">
        <f aca="false">$C32+J$4*$D32-$E32</f>
        <v>160923.85</v>
      </c>
      <c r="K32" s="39" t="n">
        <f aca="false">$C32+K$4*$D32-$E32</f>
        <v>172048.85</v>
      </c>
      <c r="L32" s="39" t="n">
        <f aca="false">$C32+L$4*$D32-$E32</f>
        <v>194298.85</v>
      </c>
      <c r="M32" s="39" t="n">
        <f aca="false">$C32+M$4*$D32-$E32</f>
        <v>216548.85</v>
      </c>
      <c r="N32" s="39" t="n">
        <f aca="false">$C32+N$4*$D32-$E32</f>
        <v>238798.85</v>
      </c>
      <c r="O32" s="39" t="n">
        <f aca="false">$C32+O$4*$D32-$E32</f>
        <v>261048.85</v>
      </c>
      <c r="P32" s="39" t="n">
        <f aca="false">$C32+P$4*$D32-$E32</f>
        <v>283298.85</v>
      </c>
      <c r="Q32" s="39" t="n">
        <f aca="false">$C32+Q$4*$D32-$E32</f>
        <v>305548.85</v>
      </c>
      <c r="R32" s="39" t="n">
        <f aca="false">$C32+R$4*$D32-$E32</f>
        <v>327798.85</v>
      </c>
    </row>
    <row r="33" customFormat="false" ht="15" hidden="false" customHeight="false" outlineLevel="0" collapsed="false">
      <c r="A33" s="12" t="s">
        <v>868</v>
      </c>
      <c r="B33" s="30" t="str">
        <f aca="false">'Análisis Compactación'!A33</f>
        <v>SDR | CATERPILLAR | CS12</v>
      </c>
      <c r="C33" s="32" t="n">
        <f aca="false">'Análisis Compactación'!F33</f>
        <v>105298.85</v>
      </c>
      <c r="D33" s="34" t="n">
        <f aca="false">'Análisis Compactación'!AB33</f>
        <v>22.25</v>
      </c>
      <c r="E33" s="32" t="n">
        <f aca="false">'Análisis Compactación'!J33</f>
        <v>0</v>
      </c>
      <c r="F33" s="39" t="n">
        <f aca="false">$C33+F$4*$D33-$E33</f>
        <v>105298.85</v>
      </c>
      <c r="G33" s="39" t="n">
        <f aca="false">$C33+G$4*$D33-$E33</f>
        <v>127548.85</v>
      </c>
      <c r="H33" s="39" t="n">
        <f aca="false">$C33+H$4*$D33-$E33</f>
        <v>138673.85</v>
      </c>
      <c r="I33" s="39" t="n">
        <f aca="false">$C33+I$4*$D33-$E33</f>
        <v>149798.85</v>
      </c>
      <c r="J33" s="39" t="n">
        <f aca="false">$C33+J$4*$D33-$E33</f>
        <v>160923.85</v>
      </c>
      <c r="K33" s="39" t="n">
        <f aca="false">$C33+K$4*$D33-$E33</f>
        <v>172048.85</v>
      </c>
      <c r="L33" s="39" t="n">
        <f aca="false">$C33+L$4*$D33-$E33</f>
        <v>194298.85</v>
      </c>
      <c r="M33" s="39" t="n">
        <f aca="false">$C33+M$4*$D33-$E33</f>
        <v>216548.85</v>
      </c>
      <c r="N33" s="39" t="n">
        <f aca="false">$C33+N$4*$D33-$E33</f>
        <v>238798.85</v>
      </c>
      <c r="O33" s="39" t="n">
        <f aca="false">$C33+O$4*$D33-$E33</f>
        <v>261048.85</v>
      </c>
      <c r="P33" s="39" t="n">
        <f aca="false">$C33+P$4*$D33-$E33</f>
        <v>283298.85</v>
      </c>
      <c r="Q33" s="39" t="n">
        <f aca="false">$C33+Q$4*$D33-$E33</f>
        <v>305548.85</v>
      </c>
      <c r="R33" s="39" t="n">
        <f aca="false">$C33+R$4*$D33-$E33</f>
        <v>327798.85</v>
      </c>
    </row>
    <row r="34" customFormat="false" ht="15" hidden="false" customHeight="false" outlineLevel="0" collapsed="false">
      <c r="A34" s="12" t="s">
        <v>868</v>
      </c>
      <c r="B34" s="30" t="str">
        <f aca="false">'Análisis Compactación'!A34</f>
        <v>SDR | CATERPILLAR | CS13GC</v>
      </c>
      <c r="C34" s="32" t="n">
        <f aca="false">'Análisis Compactación'!F34</f>
        <v>0</v>
      </c>
      <c r="D34" s="34" t="n">
        <f aca="false">'Análisis Compactación'!AB34</f>
        <v>4.85</v>
      </c>
      <c r="E34" s="32" t="n">
        <f aca="false">'Análisis Compactación'!J34</f>
        <v>0</v>
      </c>
      <c r="F34" s="39" t="n">
        <f aca="false">$C34+F$4*$D34-$E34</f>
        <v>0</v>
      </c>
      <c r="G34" s="39" t="n">
        <f aca="false">$C34+G$4*$D34-$E34</f>
        <v>4850</v>
      </c>
      <c r="H34" s="39" t="n">
        <f aca="false">$C34+H$4*$D34-$E34</f>
        <v>7275</v>
      </c>
      <c r="I34" s="39" t="n">
        <f aca="false">$C34+I$4*$D34-$E34</f>
        <v>9700</v>
      </c>
      <c r="J34" s="39" t="n">
        <f aca="false">$C34+J$4*$D34-$E34</f>
        <v>12125</v>
      </c>
      <c r="K34" s="39" t="n">
        <f aca="false">$C34+K$4*$D34-$E34</f>
        <v>14550</v>
      </c>
      <c r="L34" s="39" t="n">
        <f aca="false">$C34+L$4*$D34-$E34</f>
        <v>19400</v>
      </c>
      <c r="M34" s="39" t="n">
        <f aca="false">$C34+M$4*$D34-$E34</f>
        <v>24250</v>
      </c>
      <c r="N34" s="39" t="n">
        <f aca="false">$C34+N$4*$D34-$E34</f>
        <v>29100</v>
      </c>
      <c r="O34" s="39" t="n">
        <f aca="false">$C34+O$4*$D34-$E34</f>
        <v>33950</v>
      </c>
      <c r="P34" s="39" t="n">
        <f aca="false">$C34+P$4*$D34-$E34</f>
        <v>38800</v>
      </c>
      <c r="Q34" s="39" t="n">
        <f aca="false">$C34+Q$4*$D34-$E34</f>
        <v>43650</v>
      </c>
      <c r="R34" s="39" t="n">
        <f aca="false">$C34+R$4*$D34-$E34</f>
        <v>48500</v>
      </c>
    </row>
    <row r="35" customFormat="false" ht="15" hidden="false" customHeight="false" outlineLevel="0" collapsed="false">
      <c r="A35" s="12" t="s">
        <v>868</v>
      </c>
      <c r="B35" s="30" t="str">
        <f aca="false">'Análisis Compactación'!A35</f>
        <v>SDR | XCMG | XS113E</v>
      </c>
      <c r="C35" s="32" t="n">
        <f aca="false">'Análisis Compactación'!F35</f>
        <v>54786</v>
      </c>
      <c r="D35" s="34" t="n">
        <f aca="false">'Análisis Compactación'!AB35</f>
        <v>21.17</v>
      </c>
      <c r="E35" s="32" t="n">
        <f aca="false">'Análisis Compactación'!J35</f>
        <v>0</v>
      </c>
      <c r="F35" s="39" t="n">
        <f aca="false">$C35+F$4*$D35-$E35</f>
        <v>54786</v>
      </c>
      <c r="G35" s="39" t="n">
        <f aca="false">$C35+G$4*$D35-$E35</f>
        <v>75956</v>
      </c>
      <c r="H35" s="39" t="n">
        <f aca="false">$C35+H$4*$D35-$E35</f>
        <v>86541</v>
      </c>
      <c r="I35" s="39" t="n">
        <f aca="false">$C35+I$4*$D35-$E35</f>
        <v>97126</v>
      </c>
      <c r="J35" s="39" t="n">
        <f aca="false">$C35+J$4*$D35-$E35</f>
        <v>107711</v>
      </c>
      <c r="K35" s="39" t="n">
        <f aca="false">$C35+K$4*$D35-$E35</f>
        <v>118296</v>
      </c>
      <c r="L35" s="39" t="n">
        <f aca="false">$C35+L$4*$D35-$E35</f>
        <v>139466</v>
      </c>
      <c r="M35" s="39" t="n">
        <f aca="false">$C35+M$4*$D35-$E35</f>
        <v>160636</v>
      </c>
      <c r="N35" s="39" t="n">
        <f aca="false">$C35+N$4*$D35-$E35</f>
        <v>181806</v>
      </c>
      <c r="O35" s="39" t="n">
        <f aca="false">$C35+O$4*$D35-$E35</f>
        <v>202976</v>
      </c>
      <c r="P35" s="39" t="n">
        <f aca="false">$C35+P$4*$D35-$E35</f>
        <v>224146</v>
      </c>
      <c r="Q35" s="39" t="n">
        <f aca="false">$C35+Q$4*$D35-$E35</f>
        <v>245316</v>
      </c>
      <c r="R35" s="39" t="n">
        <f aca="false">$C35+R$4*$D35-$E35</f>
        <v>266486</v>
      </c>
    </row>
    <row r="36" customFormat="false" ht="15" hidden="false" customHeight="false" outlineLevel="0" collapsed="false">
      <c r="A36" s="12" t="s">
        <v>868</v>
      </c>
      <c r="B36" s="30" t="str">
        <f aca="false">'Análisis Compactación'!A36</f>
        <v>SDR | XCMG | XS123</v>
      </c>
      <c r="C36" s="32" t="n">
        <f aca="false">'Análisis Compactación'!F36</f>
        <v>54786</v>
      </c>
      <c r="D36" s="34" t="n">
        <f aca="false">'Análisis Compactación'!AB36</f>
        <v>21.17</v>
      </c>
      <c r="E36" s="32" t="n">
        <f aca="false">'Análisis Compactación'!J36</f>
        <v>0</v>
      </c>
      <c r="F36" s="39" t="n">
        <f aca="false">$C36+F$4*$D36-$E36</f>
        <v>54786</v>
      </c>
      <c r="G36" s="39" t="n">
        <f aca="false">$C36+G$4*$D36-$E36</f>
        <v>75956</v>
      </c>
      <c r="H36" s="39" t="n">
        <f aca="false">$C36+H$4*$D36-$E36</f>
        <v>86541</v>
      </c>
      <c r="I36" s="39" t="n">
        <f aca="false">$C36+I$4*$D36-$E36</f>
        <v>97126</v>
      </c>
      <c r="J36" s="39" t="n">
        <f aca="false">$C36+J$4*$D36-$E36</f>
        <v>107711</v>
      </c>
      <c r="K36" s="39" t="n">
        <f aca="false">$C36+K$4*$D36-$E36</f>
        <v>118296</v>
      </c>
      <c r="L36" s="39" t="n">
        <f aca="false">$C36+L$4*$D36-$E36</f>
        <v>139466</v>
      </c>
      <c r="M36" s="39" t="n">
        <f aca="false">$C36+M$4*$D36-$E36</f>
        <v>160636</v>
      </c>
      <c r="N36" s="39" t="n">
        <f aca="false">$C36+N$4*$D36-$E36</f>
        <v>181806</v>
      </c>
      <c r="O36" s="39" t="n">
        <f aca="false">$C36+O$4*$D36-$E36</f>
        <v>202976</v>
      </c>
      <c r="P36" s="39" t="n">
        <f aca="false">$C36+P$4*$D36-$E36</f>
        <v>224146</v>
      </c>
      <c r="Q36" s="39" t="n">
        <f aca="false">$C36+Q$4*$D36-$E36</f>
        <v>245316</v>
      </c>
      <c r="R36" s="39" t="n">
        <f aca="false">$C36+R$4*$D36-$E36</f>
        <v>266486</v>
      </c>
    </row>
    <row r="37" customFormat="false" ht="15" hidden="false" customHeight="false" outlineLevel="0" collapsed="false">
      <c r="A37" s="12" t="s">
        <v>868</v>
      </c>
      <c r="B37" s="30" t="str">
        <f aca="false">'Análisis Compactación'!A37</f>
        <v>SDR | XCMG | XS143J</v>
      </c>
      <c r="C37" s="32" t="n">
        <f aca="false">'Análisis Compactación'!F37</f>
        <v>0</v>
      </c>
      <c r="D37" s="34" t="n">
        <f aca="false">'Análisis Compactación'!AB37</f>
        <v>4.85</v>
      </c>
      <c r="E37" s="32" t="n">
        <f aca="false">'Análisis Compactación'!J37</f>
        <v>0</v>
      </c>
      <c r="F37" s="39" t="n">
        <f aca="false">$C37+F$4*$D37-$E37</f>
        <v>0</v>
      </c>
      <c r="G37" s="39" t="n">
        <f aca="false">$C37+G$4*$D37-$E37</f>
        <v>4850</v>
      </c>
      <c r="H37" s="39" t="n">
        <f aca="false">$C37+H$4*$D37-$E37</f>
        <v>7275</v>
      </c>
      <c r="I37" s="39" t="n">
        <f aca="false">$C37+I$4*$D37-$E37</f>
        <v>9700</v>
      </c>
      <c r="J37" s="39" t="n">
        <f aca="false">$C37+J$4*$D37-$E37</f>
        <v>12125</v>
      </c>
      <c r="K37" s="39" t="n">
        <f aca="false">$C37+K$4*$D37-$E37</f>
        <v>14550</v>
      </c>
      <c r="L37" s="39" t="n">
        <f aca="false">$C37+L$4*$D37-$E37</f>
        <v>19400</v>
      </c>
      <c r="M37" s="39" t="n">
        <f aca="false">$C37+M$4*$D37-$E37</f>
        <v>24250</v>
      </c>
      <c r="N37" s="39" t="n">
        <f aca="false">$C37+N$4*$D37-$E37</f>
        <v>29100</v>
      </c>
      <c r="O37" s="39" t="n">
        <f aca="false">$C37+O$4*$D37-$E37</f>
        <v>33950</v>
      </c>
      <c r="P37" s="39" t="n">
        <f aca="false">$C37+P$4*$D37-$E37</f>
        <v>38800</v>
      </c>
      <c r="Q37" s="39" t="n">
        <f aca="false">$C37+Q$4*$D37-$E37</f>
        <v>43650</v>
      </c>
      <c r="R37" s="39" t="n">
        <f aca="false">$C37+R$4*$D37-$E37</f>
        <v>48500</v>
      </c>
    </row>
    <row r="38" customFormat="false" ht="15" hidden="false" customHeight="false" outlineLevel="0" collapsed="false">
      <c r="A38" s="12" t="s">
        <v>868</v>
      </c>
      <c r="B38" s="30" t="str">
        <f aca="false">'Análisis Compactación'!A38</f>
        <v>SDR | XCMG | XS162J</v>
      </c>
      <c r="C38" s="32" t="n">
        <f aca="false">'Análisis Compactación'!F38</f>
        <v>0</v>
      </c>
      <c r="D38" s="34" t="n">
        <f aca="false">'Análisis Compactación'!AB38</f>
        <v>4.85</v>
      </c>
      <c r="E38" s="32" t="n">
        <f aca="false">'Análisis Compactación'!J38</f>
        <v>0</v>
      </c>
      <c r="F38" s="39" t="n">
        <f aca="false">$C38+F$4*$D38-$E38</f>
        <v>0</v>
      </c>
      <c r="G38" s="39" t="n">
        <f aca="false">$C38+G$4*$D38-$E38</f>
        <v>4850</v>
      </c>
      <c r="H38" s="39" t="n">
        <f aca="false">$C38+H$4*$D38-$E38</f>
        <v>7275</v>
      </c>
      <c r="I38" s="39" t="n">
        <f aca="false">$C38+I$4*$D38-$E38</f>
        <v>9700</v>
      </c>
      <c r="J38" s="39" t="n">
        <f aca="false">$C38+J$4*$D38-$E38</f>
        <v>12125</v>
      </c>
      <c r="K38" s="39" t="n">
        <f aca="false">$C38+K$4*$D38-$E38</f>
        <v>14550</v>
      </c>
      <c r="L38" s="39" t="n">
        <f aca="false">$C38+L$4*$D38-$E38</f>
        <v>19400</v>
      </c>
      <c r="M38" s="39" t="n">
        <f aca="false">$C38+M$4*$D38-$E38</f>
        <v>24250</v>
      </c>
      <c r="N38" s="39" t="n">
        <f aca="false">$C38+N$4*$D38-$E38</f>
        <v>29100</v>
      </c>
      <c r="O38" s="39" t="n">
        <f aca="false">$C38+O$4*$D38-$E38</f>
        <v>33950</v>
      </c>
      <c r="P38" s="39" t="n">
        <f aca="false">$C38+P$4*$D38-$E38</f>
        <v>38800</v>
      </c>
      <c r="Q38" s="39" t="n">
        <f aca="false">$C38+Q$4*$D38-$E38</f>
        <v>43650</v>
      </c>
      <c r="R38" s="39" t="n">
        <f aca="false">$C38+R$4*$D38-$E38</f>
        <v>48500</v>
      </c>
    </row>
    <row r="39" customFormat="false" ht="15" hidden="false" customHeight="false" outlineLevel="0" collapsed="false">
      <c r="A39" s="12" t="s">
        <v>868</v>
      </c>
      <c r="B39" s="30" t="str">
        <f aca="false">'Análisis Compactación'!A39</f>
        <v>SDR | XCMG | XS182</v>
      </c>
      <c r="C39" s="32" t="n">
        <f aca="false">'Análisis Compactación'!F39</f>
        <v>0</v>
      </c>
      <c r="D39" s="34" t="n">
        <f aca="false">'Análisis Compactación'!AB39</f>
        <v>4.85</v>
      </c>
      <c r="E39" s="32" t="n">
        <f aca="false">'Análisis Compactación'!J39</f>
        <v>0</v>
      </c>
      <c r="F39" s="39" t="n">
        <f aca="false">$C39+F$4*$D39-$E39</f>
        <v>0</v>
      </c>
      <c r="G39" s="39" t="n">
        <f aca="false">$C39+G$4*$D39-$E39</f>
        <v>4850</v>
      </c>
      <c r="H39" s="39" t="n">
        <f aca="false">$C39+H$4*$D39-$E39</f>
        <v>7275</v>
      </c>
      <c r="I39" s="39" t="n">
        <f aca="false">$C39+I$4*$D39-$E39</f>
        <v>9700</v>
      </c>
      <c r="J39" s="39" t="n">
        <f aca="false">$C39+J$4*$D39-$E39</f>
        <v>12125</v>
      </c>
      <c r="K39" s="39" t="n">
        <f aca="false">$C39+K$4*$D39-$E39</f>
        <v>14550</v>
      </c>
      <c r="L39" s="39" t="n">
        <f aca="false">$C39+L$4*$D39-$E39</f>
        <v>19400</v>
      </c>
      <c r="M39" s="39" t="n">
        <f aca="false">$C39+M$4*$D39-$E39</f>
        <v>24250</v>
      </c>
      <c r="N39" s="39" t="n">
        <f aca="false">$C39+N$4*$D39-$E39</f>
        <v>29100</v>
      </c>
      <c r="O39" s="39" t="n">
        <f aca="false">$C39+O$4*$D39-$E39</f>
        <v>33950</v>
      </c>
      <c r="P39" s="39" t="n">
        <f aca="false">$C39+P$4*$D39-$E39</f>
        <v>38800</v>
      </c>
      <c r="Q39" s="39" t="n">
        <f aca="false">$C39+Q$4*$D39-$E39</f>
        <v>43650</v>
      </c>
      <c r="R39" s="39" t="n">
        <f aca="false">$C39+R$4*$D39-$E39</f>
        <v>48500</v>
      </c>
    </row>
    <row r="40" customFormat="false" ht="15" hidden="false" customHeight="false" outlineLevel="0" collapsed="false">
      <c r="A40" s="12" t="s">
        <v>868</v>
      </c>
      <c r="B40" s="30" t="str">
        <f aca="false">'Análisis Compactación'!A40</f>
        <v>SDR | XCMG | XS203J</v>
      </c>
      <c r="C40" s="32" t="n">
        <f aca="false">'Análisis Compactación'!F40</f>
        <v>0</v>
      </c>
      <c r="D40" s="34" t="n">
        <f aca="false">'Análisis Compactación'!AB40</f>
        <v>4.85</v>
      </c>
      <c r="E40" s="32" t="n">
        <f aca="false">'Análisis Compactación'!J40</f>
        <v>0</v>
      </c>
      <c r="F40" s="39" t="n">
        <f aca="false">$C40+F$4*$D40-$E40</f>
        <v>0</v>
      </c>
      <c r="G40" s="39" t="n">
        <f aca="false">$C40+G$4*$D40-$E40</f>
        <v>4850</v>
      </c>
      <c r="H40" s="39" t="n">
        <f aca="false">$C40+H$4*$D40-$E40</f>
        <v>7275</v>
      </c>
      <c r="I40" s="39" t="n">
        <f aca="false">$C40+I$4*$D40-$E40</f>
        <v>9700</v>
      </c>
      <c r="J40" s="39" t="n">
        <f aca="false">$C40+J$4*$D40-$E40</f>
        <v>12125</v>
      </c>
      <c r="K40" s="39" t="n">
        <f aca="false">$C40+K$4*$D40-$E40</f>
        <v>14550</v>
      </c>
      <c r="L40" s="39" t="n">
        <f aca="false">$C40+L$4*$D40-$E40</f>
        <v>19400</v>
      </c>
      <c r="M40" s="39" t="n">
        <f aca="false">$C40+M$4*$D40-$E40</f>
        <v>24250</v>
      </c>
      <c r="N40" s="39" t="n">
        <f aca="false">$C40+N$4*$D40-$E40</f>
        <v>29100</v>
      </c>
      <c r="O40" s="39" t="n">
        <f aca="false">$C40+O$4*$D40-$E40</f>
        <v>33950</v>
      </c>
      <c r="P40" s="39" t="n">
        <f aca="false">$C40+P$4*$D40-$E40</f>
        <v>38800</v>
      </c>
      <c r="Q40" s="39" t="n">
        <f aca="false">$C40+Q$4*$D40-$E40</f>
        <v>43650</v>
      </c>
      <c r="R40" s="39" t="n">
        <f aca="false">$C40+R$4*$D40-$E40</f>
        <v>48500</v>
      </c>
    </row>
    <row r="41" customFormat="false" ht="15" hidden="false" customHeight="false" outlineLevel="0" collapsed="false">
      <c r="A41" s="12" t="s">
        <v>868</v>
      </c>
      <c r="B41" s="30" t="str">
        <f aca="false">'Análisis Compactación'!A41</f>
        <v>SDR | SANY | SSR120C-8</v>
      </c>
      <c r="C41" s="32" t="n">
        <f aca="false">'Análisis Compactación'!F41</f>
        <v>0</v>
      </c>
      <c r="D41" s="34" t="n">
        <f aca="false">'Análisis Compactación'!AB41</f>
        <v>4.85</v>
      </c>
      <c r="E41" s="32" t="n">
        <f aca="false">'Análisis Compactación'!J41</f>
        <v>0</v>
      </c>
      <c r="F41" s="39" t="n">
        <f aca="false">$C41+F$4*$D41-$E41</f>
        <v>0</v>
      </c>
      <c r="G41" s="39" t="n">
        <f aca="false">$C41+G$4*$D41-$E41</f>
        <v>4850</v>
      </c>
      <c r="H41" s="39" t="n">
        <f aca="false">$C41+H$4*$D41-$E41</f>
        <v>7275</v>
      </c>
      <c r="I41" s="39" t="n">
        <f aca="false">$C41+I$4*$D41-$E41</f>
        <v>9700</v>
      </c>
      <c r="J41" s="39" t="n">
        <f aca="false">$C41+J$4*$D41-$E41</f>
        <v>12125</v>
      </c>
      <c r="K41" s="39" t="n">
        <f aca="false">$C41+K$4*$D41-$E41</f>
        <v>14550</v>
      </c>
      <c r="L41" s="39" t="n">
        <f aca="false">$C41+L$4*$D41-$E41</f>
        <v>19400</v>
      </c>
      <c r="M41" s="39" t="n">
        <f aca="false">$C41+M$4*$D41-$E41</f>
        <v>24250</v>
      </c>
      <c r="N41" s="39" t="n">
        <f aca="false">$C41+N$4*$D41-$E41</f>
        <v>29100</v>
      </c>
      <c r="O41" s="39" t="n">
        <f aca="false">$C41+O$4*$D41-$E41</f>
        <v>33950</v>
      </c>
      <c r="P41" s="39" t="n">
        <f aca="false">$C41+P$4*$D41-$E41</f>
        <v>38800</v>
      </c>
      <c r="Q41" s="39" t="n">
        <f aca="false">$C41+Q$4*$D41-$E41</f>
        <v>43650</v>
      </c>
      <c r="R41" s="39" t="n">
        <f aca="false">$C41+R$4*$D41-$E41</f>
        <v>48500</v>
      </c>
    </row>
    <row r="42" customFormat="false" ht="15" hidden="false" customHeight="false" outlineLevel="0" collapsed="false">
      <c r="A42" s="12" t="s">
        <v>868</v>
      </c>
      <c r="B42" s="30" t="str">
        <f aca="false">'Análisis Compactación'!A42</f>
        <v>SDR | SANY | SSR120C-10</v>
      </c>
      <c r="C42" s="32" t="n">
        <f aca="false">'Análisis Compactación'!F42</f>
        <v>0</v>
      </c>
      <c r="D42" s="34" t="n">
        <f aca="false">'Análisis Compactación'!AB42</f>
        <v>4.85</v>
      </c>
      <c r="E42" s="32" t="n">
        <f aca="false">'Análisis Compactación'!J42</f>
        <v>0</v>
      </c>
      <c r="F42" s="39" t="n">
        <f aca="false">$C42+F$4*$D42-$E42</f>
        <v>0</v>
      </c>
      <c r="G42" s="39" t="n">
        <f aca="false">$C42+G$4*$D42-$E42</f>
        <v>4850</v>
      </c>
      <c r="H42" s="39" t="n">
        <f aca="false">$C42+H$4*$D42-$E42</f>
        <v>7275</v>
      </c>
      <c r="I42" s="39" t="n">
        <f aca="false">$C42+I$4*$D42-$E42</f>
        <v>9700</v>
      </c>
      <c r="J42" s="39" t="n">
        <f aca="false">$C42+J$4*$D42-$E42</f>
        <v>12125</v>
      </c>
      <c r="K42" s="39" t="n">
        <f aca="false">$C42+K$4*$D42-$E42</f>
        <v>14550</v>
      </c>
      <c r="L42" s="39" t="n">
        <f aca="false">$C42+L$4*$D42-$E42</f>
        <v>19400</v>
      </c>
      <c r="M42" s="39" t="n">
        <f aca="false">$C42+M$4*$D42-$E42</f>
        <v>24250</v>
      </c>
      <c r="N42" s="39" t="n">
        <f aca="false">$C42+N$4*$D42-$E42</f>
        <v>29100</v>
      </c>
      <c r="O42" s="39" t="n">
        <f aca="false">$C42+O$4*$D42-$E42</f>
        <v>33950</v>
      </c>
      <c r="P42" s="39" t="n">
        <f aca="false">$C42+P$4*$D42-$E42</f>
        <v>38800</v>
      </c>
      <c r="Q42" s="39" t="n">
        <f aca="false">$C42+Q$4*$D42-$E42</f>
        <v>43650</v>
      </c>
      <c r="R42" s="39" t="n">
        <f aca="false">$C42+R$4*$D42-$E42</f>
        <v>48500</v>
      </c>
    </row>
    <row r="43" customFormat="false" ht="15" hidden="false" customHeight="false" outlineLevel="0" collapsed="false">
      <c r="A43" s="12" t="s">
        <v>868</v>
      </c>
      <c r="B43" s="30" t="str">
        <f aca="false">'Análisis Compactación'!A43</f>
        <v>SDR | SANY | SSR120C-10S</v>
      </c>
      <c r="C43" s="32" t="n">
        <f aca="false">'Análisis Compactación'!F43</f>
        <v>56392</v>
      </c>
      <c r="D43" s="34" t="n">
        <f aca="false">'Análisis Compactación'!AB43</f>
        <v>23.21</v>
      </c>
      <c r="E43" s="32" t="n">
        <f aca="false">'Análisis Compactación'!J43</f>
        <v>0</v>
      </c>
      <c r="F43" s="39" t="n">
        <f aca="false">$C43+F$4*$D43-$E43</f>
        <v>56392</v>
      </c>
      <c r="G43" s="39" t="n">
        <f aca="false">$C43+G$4*$D43-$E43</f>
        <v>79602</v>
      </c>
      <c r="H43" s="39" t="n">
        <f aca="false">$C43+H$4*$D43-$E43</f>
        <v>91207</v>
      </c>
      <c r="I43" s="39" t="n">
        <f aca="false">$C43+I$4*$D43-$E43</f>
        <v>102812</v>
      </c>
      <c r="J43" s="39" t="n">
        <f aca="false">$C43+J$4*$D43-$E43</f>
        <v>114417</v>
      </c>
      <c r="K43" s="39" t="n">
        <f aca="false">$C43+K$4*$D43-$E43</f>
        <v>126022</v>
      </c>
      <c r="L43" s="39" t="n">
        <f aca="false">$C43+L$4*$D43-$E43</f>
        <v>149232</v>
      </c>
      <c r="M43" s="39" t="n">
        <f aca="false">$C43+M$4*$D43-$E43</f>
        <v>172442</v>
      </c>
      <c r="N43" s="39" t="n">
        <f aca="false">$C43+N$4*$D43-$E43</f>
        <v>195652</v>
      </c>
      <c r="O43" s="39" t="n">
        <f aca="false">$C43+O$4*$D43-$E43</f>
        <v>218862</v>
      </c>
      <c r="P43" s="39" t="n">
        <f aca="false">$C43+P$4*$D43-$E43</f>
        <v>242072</v>
      </c>
      <c r="Q43" s="39" t="n">
        <f aca="false">$C43+Q$4*$D43-$E43</f>
        <v>265282</v>
      </c>
      <c r="R43" s="39" t="n">
        <f aca="false">$C43+R$4*$D43-$E43</f>
        <v>288492</v>
      </c>
    </row>
    <row r="44" customFormat="false" ht="15" hidden="false" customHeight="false" outlineLevel="0" collapsed="false">
      <c r="A44" s="12" t="s">
        <v>868</v>
      </c>
      <c r="B44" s="30" t="str">
        <f aca="false">'Análisis Compactación'!A44</f>
        <v>SDR | SHANTUI | SR16</v>
      </c>
      <c r="C44" s="32" t="n">
        <f aca="false">'Análisis Compactación'!F44</f>
        <v>0</v>
      </c>
      <c r="D44" s="34" t="n">
        <f aca="false">'Análisis Compactación'!AB44</f>
        <v>4.85</v>
      </c>
      <c r="E44" s="32" t="n">
        <f aca="false">'Análisis Compactación'!J44</f>
        <v>0</v>
      </c>
      <c r="F44" s="39" t="n">
        <f aca="false">$C44+F$4*$D44-$E44</f>
        <v>0</v>
      </c>
      <c r="G44" s="39" t="n">
        <f aca="false">$C44+G$4*$D44-$E44</f>
        <v>4850</v>
      </c>
      <c r="H44" s="39" t="n">
        <f aca="false">$C44+H$4*$D44-$E44</f>
        <v>7275</v>
      </c>
      <c r="I44" s="39" t="n">
        <f aca="false">$C44+I$4*$D44-$E44</f>
        <v>9700</v>
      </c>
      <c r="J44" s="39" t="n">
        <f aca="false">$C44+J$4*$D44-$E44</f>
        <v>12125</v>
      </c>
      <c r="K44" s="39" t="n">
        <f aca="false">$C44+K$4*$D44-$E44</f>
        <v>14550</v>
      </c>
      <c r="L44" s="39" t="n">
        <f aca="false">$C44+L$4*$D44-$E44</f>
        <v>19400</v>
      </c>
      <c r="M44" s="39" t="n">
        <f aca="false">$C44+M$4*$D44-$E44</f>
        <v>24250</v>
      </c>
      <c r="N44" s="39" t="n">
        <f aca="false">$C44+N$4*$D44-$E44</f>
        <v>29100</v>
      </c>
      <c r="O44" s="39" t="n">
        <f aca="false">$C44+O$4*$D44-$E44</f>
        <v>33950</v>
      </c>
      <c r="P44" s="39" t="n">
        <f aca="false">$C44+P$4*$D44-$E44</f>
        <v>38800</v>
      </c>
      <c r="Q44" s="39" t="n">
        <f aca="false">$C44+Q$4*$D44-$E44</f>
        <v>43650</v>
      </c>
      <c r="R44" s="39" t="n">
        <f aca="false">$C44+R$4*$D44-$E44</f>
        <v>48500</v>
      </c>
    </row>
    <row r="45" customFormat="false" ht="15" hidden="false" customHeight="false" outlineLevel="0" collapsed="false">
      <c r="A45" s="12" t="s">
        <v>868</v>
      </c>
      <c r="B45" s="30" t="str">
        <f aca="false">'Análisis Compactación'!A45</f>
        <v>SDR | SHANTUI | SR22</v>
      </c>
      <c r="C45" s="32" t="n">
        <f aca="false">'Análisis Compactación'!F45</f>
        <v>0</v>
      </c>
      <c r="D45" s="34" t="n">
        <f aca="false">'Análisis Compactación'!AB45</f>
        <v>4.85</v>
      </c>
      <c r="E45" s="32" t="n">
        <f aca="false">'Análisis Compactación'!J45</f>
        <v>0</v>
      </c>
      <c r="F45" s="39" t="n">
        <f aca="false">$C45+F$4*$D45-$E45</f>
        <v>0</v>
      </c>
      <c r="G45" s="39" t="n">
        <f aca="false">$C45+G$4*$D45-$E45</f>
        <v>4850</v>
      </c>
      <c r="H45" s="39" t="n">
        <f aca="false">$C45+H$4*$D45-$E45</f>
        <v>7275</v>
      </c>
      <c r="I45" s="39" t="n">
        <f aca="false">$C45+I$4*$D45-$E45</f>
        <v>9700</v>
      </c>
      <c r="J45" s="39" t="n">
        <f aca="false">$C45+J$4*$D45-$E45</f>
        <v>12125</v>
      </c>
      <c r="K45" s="39" t="n">
        <f aca="false">$C45+K$4*$D45-$E45</f>
        <v>14550</v>
      </c>
      <c r="L45" s="39" t="n">
        <f aca="false">$C45+L$4*$D45-$E45</f>
        <v>19400</v>
      </c>
      <c r="M45" s="39" t="n">
        <f aca="false">$C45+M$4*$D45-$E45</f>
        <v>24250</v>
      </c>
      <c r="N45" s="39" t="n">
        <f aca="false">$C45+N$4*$D45-$E45</f>
        <v>29100</v>
      </c>
      <c r="O45" s="39" t="n">
        <f aca="false">$C45+O$4*$D45-$E45</f>
        <v>33950</v>
      </c>
      <c r="P45" s="39" t="n">
        <f aca="false">$C45+P$4*$D45-$E45</f>
        <v>38800</v>
      </c>
      <c r="Q45" s="39" t="n">
        <f aca="false">$C45+Q$4*$D45-$E45</f>
        <v>43650</v>
      </c>
      <c r="R45" s="39" t="n">
        <f aca="false">$C45+R$4*$D45-$E45</f>
        <v>48500</v>
      </c>
    </row>
    <row r="46" customFormat="false" ht="15" hidden="false" customHeight="false" outlineLevel="0" collapsed="false">
      <c r="A46" s="12" t="s">
        <v>868</v>
      </c>
      <c r="B46" s="30" t="str">
        <f aca="false">'Análisis Compactación'!A46</f>
        <v>SDR | JCB | 116D</v>
      </c>
      <c r="C46" s="32" t="n">
        <f aca="false">'Análisis Compactación'!F46</f>
        <v>84076</v>
      </c>
      <c r="D46" s="34" t="n">
        <f aca="false">'Análisis Compactación'!AB46</f>
        <v>20.45</v>
      </c>
      <c r="E46" s="32" t="n">
        <f aca="false">'Análisis Compactación'!J46</f>
        <v>0</v>
      </c>
      <c r="F46" s="39" t="n">
        <f aca="false">$C46+F$4*$D46-$E46</f>
        <v>84076</v>
      </c>
      <c r="G46" s="39" t="n">
        <f aca="false">$C46+G$4*$D46-$E46</f>
        <v>104526</v>
      </c>
      <c r="H46" s="39" t="n">
        <f aca="false">$C46+H$4*$D46-$E46</f>
        <v>114751</v>
      </c>
      <c r="I46" s="39" t="n">
        <f aca="false">$C46+I$4*$D46-$E46</f>
        <v>124976</v>
      </c>
      <c r="J46" s="39" t="n">
        <f aca="false">$C46+J$4*$D46-$E46</f>
        <v>135201</v>
      </c>
      <c r="K46" s="39" t="n">
        <f aca="false">$C46+K$4*$D46-$E46</f>
        <v>145426</v>
      </c>
      <c r="L46" s="39" t="n">
        <f aca="false">$C46+L$4*$D46-$E46</f>
        <v>165876</v>
      </c>
      <c r="M46" s="39" t="n">
        <f aca="false">$C46+M$4*$D46-$E46</f>
        <v>186326</v>
      </c>
      <c r="N46" s="39" t="n">
        <f aca="false">$C46+N$4*$D46-$E46</f>
        <v>206776</v>
      </c>
      <c r="O46" s="39" t="n">
        <f aca="false">$C46+O$4*$D46-$E46</f>
        <v>227226</v>
      </c>
      <c r="P46" s="39" t="n">
        <f aca="false">$C46+P$4*$D46-$E46</f>
        <v>247676</v>
      </c>
      <c r="Q46" s="39" t="n">
        <f aca="false">$C46+Q$4*$D46-$E46</f>
        <v>268126</v>
      </c>
      <c r="R46" s="39" t="n">
        <f aca="false">$C46+R$4*$D46-$E46</f>
        <v>288576</v>
      </c>
    </row>
    <row r="47" customFormat="false" ht="15" hidden="false" customHeight="false" outlineLevel="0" collapsed="false">
      <c r="A47" s="12" t="s">
        <v>868</v>
      </c>
      <c r="B47" s="30" t="str">
        <f aca="false">'Análisis Compactación'!A47</f>
        <v>SDR | JCB | VM115</v>
      </c>
      <c r="C47" s="32" t="n">
        <f aca="false">'Análisis Compactación'!F47</f>
        <v>84076</v>
      </c>
      <c r="D47" s="34" t="n">
        <f aca="false">'Análisis Compactación'!AB47</f>
        <v>20.45</v>
      </c>
      <c r="E47" s="32" t="n">
        <f aca="false">'Análisis Compactación'!J47</f>
        <v>0</v>
      </c>
      <c r="F47" s="39" t="n">
        <f aca="false">$C47+F$4*$D47-$E47</f>
        <v>84076</v>
      </c>
      <c r="G47" s="39" t="n">
        <f aca="false">$C47+G$4*$D47-$E47</f>
        <v>104526</v>
      </c>
      <c r="H47" s="39" t="n">
        <f aca="false">$C47+H$4*$D47-$E47</f>
        <v>114751</v>
      </c>
      <c r="I47" s="39" t="n">
        <f aca="false">$C47+I$4*$D47-$E47</f>
        <v>124976</v>
      </c>
      <c r="J47" s="39" t="n">
        <f aca="false">$C47+J$4*$D47-$E47</f>
        <v>135201</v>
      </c>
      <c r="K47" s="39" t="n">
        <f aca="false">$C47+K$4*$D47-$E47</f>
        <v>145426</v>
      </c>
      <c r="L47" s="39" t="n">
        <f aca="false">$C47+L$4*$D47-$E47</f>
        <v>165876</v>
      </c>
      <c r="M47" s="39" t="n">
        <f aca="false">$C47+M$4*$D47-$E47</f>
        <v>186326</v>
      </c>
      <c r="N47" s="39" t="n">
        <f aca="false">$C47+N$4*$D47-$E47</f>
        <v>206776</v>
      </c>
      <c r="O47" s="39" t="n">
        <f aca="false">$C47+O$4*$D47-$E47</f>
        <v>227226</v>
      </c>
      <c r="P47" s="39" t="n">
        <f aca="false">$C47+P$4*$D47-$E47</f>
        <v>247676</v>
      </c>
      <c r="Q47" s="39" t="n">
        <f aca="false">$C47+Q$4*$D47-$E47</f>
        <v>268126</v>
      </c>
      <c r="R47" s="39" t="n">
        <f aca="false">$C47+R$4*$D47-$E47</f>
        <v>288576</v>
      </c>
    </row>
    <row r="48" customFormat="false" ht="15" hidden="false" customHeight="false" outlineLevel="0" collapsed="false">
      <c r="A48" s="12" t="s">
        <v>868</v>
      </c>
      <c r="B48" s="30" t="str">
        <f aca="false">'Análisis Compactación'!A48</f>
        <v>SDR | JCB | VM137</v>
      </c>
      <c r="C48" s="32" t="n">
        <f aca="false">'Análisis Compactación'!F48</f>
        <v>0</v>
      </c>
      <c r="D48" s="34" t="n">
        <f aca="false">'Análisis Compactación'!AB48</f>
        <v>4.85</v>
      </c>
      <c r="E48" s="32" t="n">
        <f aca="false">'Análisis Compactación'!J48</f>
        <v>0</v>
      </c>
      <c r="F48" s="39" t="n">
        <f aca="false">$C48+F$4*$D48-$E48</f>
        <v>0</v>
      </c>
      <c r="G48" s="39" t="n">
        <f aca="false">$C48+G$4*$D48-$E48</f>
        <v>4850</v>
      </c>
      <c r="H48" s="39" t="n">
        <f aca="false">$C48+H$4*$D48-$E48</f>
        <v>7275</v>
      </c>
      <c r="I48" s="39" t="n">
        <f aca="false">$C48+I$4*$D48-$E48</f>
        <v>9700</v>
      </c>
      <c r="J48" s="39" t="n">
        <f aca="false">$C48+J$4*$D48-$E48</f>
        <v>12125</v>
      </c>
      <c r="K48" s="39" t="n">
        <f aca="false">$C48+K$4*$D48-$E48</f>
        <v>14550</v>
      </c>
      <c r="L48" s="39" t="n">
        <f aca="false">$C48+L$4*$D48-$E48</f>
        <v>19400</v>
      </c>
      <c r="M48" s="39" t="n">
        <f aca="false">$C48+M$4*$D48-$E48</f>
        <v>24250</v>
      </c>
      <c r="N48" s="39" t="n">
        <f aca="false">$C48+N$4*$D48-$E48</f>
        <v>29100</v>
      </c>
      <c r="O48" s="39" t="n">
        <f aca="false">$C48+O$4*$D48-$E48</f>
        <v>33950</v>
      </c>
      <c r="P48" s="39" t="n">
        <f aca="false">$C48+P$4*$D48-$E48</f>
        <v>38800</v>
      </c>
      <c r="Q48" s="39" t="n">
        <f aca="false">$C48+Q$4*$D48-$E48</f>
        <v>43650</v>
      </c>
      <c r="R48" s="39" t="n">
        <f aca="false">$C48+R$4*$D48-$E48</f>
        <v>48500</v>
      </c>
    </row>
    <row r="49" customFormat="false" ht="15" hidden="false" customHeight="false" outlineLevel="0" collapsed="false">
      <c r="A49" s="12" t="s">
        <v>868</v>
      </c>
      <c r="B49" s="30" t="str">
        <f aca="false">'Análisis Compactación'!A49</f>
        <v>SDR | NEW HOLLAND | V110</v>
      </c>
      <c r="C49" s="32" t="n">
        <f aca="false">'Análisis Compactación'!F49</f>
        <v>71600</v>
      </c>
      <c r="D49" s="34" t="n">
        <f aca="false">'Análisis Compactación'!AB49</f>
        <v>17.45</v>
      </c>
      <c r="E49" s="32" t="n">
        <f aca="false">'Análisis Compactación'!J49</f>
        <v>0</v>
      </c>
      <c r="F49" s="39" t="n">
        <f aca="false">$C49+F$4*$D49-$E49</f>
        <v>71600</v>
      </c>
      <c r="G49" s="39" t="n">
        <f aca="false">$C49+G$4*$D49-$E49</f>
        <v>89050</v>
      </c>
      <c r="H49" s="39" t="n">
        <f aca="false">$C49+H$4*$D49-$E49</f>
        <v>97775</v>
      </c>
      <c r="I49" s="39" t="n">
        <f aca="false">$C49+I$4*$D49-$E49</f>
        <v>106500</v>
      </c>
      <c r="J49" s="39" t="n">
        <f aca="false">$C49+J$4*$D49-$E49</f>
        <v>115225</v>
      </c>
      <c r="K49" s="39" t="n">
        <f aca="false">$C49+K$4*$D49-$E49</f>
        <v>123950</v>
      </c>
      <c r="L49" s="39" t="n">
        <f aca="false">$C49+L$4*$D49-$E49</f>
        <v>141400</v>
      </c>
      <c r="M49" s="39" t="n">
        <f aca="false">$C49+M$4*$D49-$E49</f>
        <v>158850</v>
      </c>
      <c r="N49" s="39" t="n">
        <f aca="false">$C49+N$4*$D49-$E49</f>
        <v>176300</v>
      </c>
      <c r="O49" s="39" t="n">
        <f aca="false">$C49+O$4*$D49-$E49</f>
        <v>193750</v>
      </c>
      <c r="P49" s="39" t="n">
        <f aca="false">$C49+P$4*$D49-$E49</f>
        <v>211200</v>
      </c>
      <c r="Q49" s="39" t="n">
        <f aca="false">$C49+Q$4*$D49-$E49</f>
        <v>228650</v>
      </c>
      <c r="R49" s="39" t="n">
        <f aca="false">$C49+R$4*$D49-$E49</f>
        <v>246100</v>
      </c>
    </row>
    <row r="50" customFormat="false" ht="15" hidden="false" customHeight="false" outlineLevel="0" collapsed="false">
      <c r="A50" s="12" t="s">
        <v>868</v>
      </c>
      <c r="B50" s="30" t="str">
        <f aca="false">'Análisis Compactación'!A50</f>
        <v>SDR | AMMANN | ASC110</v>
      </c>
      <c r="C50" s="32" t="n">
        <f aca="false">'Análisis Compactación'!F50</f>
        <v>89930</v>
      </c>
      <c r="D50" s="34" t="n">
        <f aca="false">'Análisis Compactación'!AB50</f>
        <v>24.41</v>
      </c>
      <c r="E50" s="32" t="n">
        <f aca="false">'Análisis Compactación'!J50</f>
        <v>0</v>
      </c>
      <c r="F50" s="39" t="n">
        <f aca="false">$C50+F$4*$D50-$E50</f>
        <v>89930</v>
      </c>
      <c r="G50" s="39" t="n">
        <f aca="false">$C50+G$4*$D50-$E50</f>
        <v>114340</v>
      </c>
      <c r="H50" s="39" t="n">
        <f aca="false">$C50+H$4*$D50-$E50</f>
        <v>126545</v>
      </c>
      <c r="I50" s="39" t="n">
        <f aca="false">$C50+I$4*$D50-$E50</f>
        <v>138750</v>
      </c>
      <c r="J50" s="39" t="n">
        <f aca="false">$C50+J$4*$D50-$E50</f>
        <v>150955</v>
      </c>
      <c r="K50" s="39" t="n">
        <f aca="false">$C50+K$4*$D50-$E50</f>
        <v>163160</v>
      </c>
      <c r="L50" s="39" t="n">
        <f aca="false">$C50+L$4*$D50-$E50</f>
        <v>187570</v>
      </c>
      <c r="M50" s="39" t="n">
        <f aca="false">$C50+M$4*$D50-$E50</f>
        <v>211980</v>
      </c>
      <c r="N50" s="39" t="n">
        <f aca="false">$C50+N$4*$D50-$E50</f>
        <v>236390</v>
      </c>
      <c r="O50" s="39" t="n">
        <f aca="false">$C50+O$4*$D50-$E50</f>
        <v>260800</v>
      </c>
      <c r="P50" s="39" t="n">
        <f aca="false">$C50+P$4*$D50-$E50</f>
        <v>285210</v>
      </c>
      <c r="Q50" s="39" t="n">
        <f aca="false">$C50+Q$4*$D50-$E50</f>
        <v>309620</v>
      </c>
      <c r="R50" s="39" t="n">
        <f aca="false">$C50+R$4*$D50-$E50</f>
        <v>334030</v>
      </c>
    </row>
    <row r="51" customFormat="false" ht="15" hidden="false" customHeight="false" outlineLevel="0" collapsed="false">
      <c r="A51" s="12" t="s">
        <v>868</v>
      </c>
      <c r="B51" s="30" t="str">
        <f aca="false">'Análisis Compactación'!A51</f>
        <v>SDR | SEM | 510</v>
      </c>
      <c r="C51" s="32" t="n">
        <f aca="false">'Análisis Compactación'!F51</f>
        <v>84076</v>
      </c>
      <c r="D51" s="34" t="n">
        <f aca="false">'Análisis Compactación'!AB51</f>
        <v>20.45</v>
      </c>
      <c r="E51" s="32" t="n">
        <f aca="false">'Análisis Compactación'!J51</f>
        <v>0</v>
      </c>
      <c r="F51" s="39" t="n">
        <f aca="false">$C51+F$4*$D51-$E51</f>
        <v>84076</v>
      </c>
      <c r="G51" s="39" t="n">
        <f aca="false">$C51+G$4*$D51-$E51</f>
        <v>104526</v>
      </c>
      <c r="H51" s="39" t="n">
        <f aca="false">$C51+H$4*$D51-$E51</f>
        <v>114751</v>
      </c>
      <c r="I51" s="39" t="n">
        <f aca="false">$C51+I$4*$D51-$E51</f>
        <v>124976</v>
      </c>
      <c r="J51" s="39" t="n">
        <f aca="false">$C51+J$4*$D51-$E51</f>
        <v>135201</v>
      </c>
      <c r="K51" s="39" t="n">
        <f aca="false">$C51+K$4*$D51-$E51</f>
        <v>145426</v>
      </c>
      <c r="L51" s="39" t="n">
        <f aca="false">$C51+L$4*$D51-$E51</f>
        <v>165876</v>
      </c>
      <c r="M51" s="39" t="n">
        <f aca="false">$C51+M$4*$D51-$E51</f>
        <v>186326</v>
      </c>
      <c r="N51" s="39" t="n">
        <f aca="false">$C51+N$4*$D51-$E51</f>
        <v>206776</v>
      </c>
      <c r="O51" s="39" t="n">
        <f aca="false">$C51+O$4*$D51-$E51</f>
        <v>227226</v>
      </c>
      <c r="P51" s="39" t="n">
        <f aca="false">$C51+P$4*$D51-$E51</f>
        <v>247676</v>
      </c>
      <c r="Q51" s="39" t="n">
        <f aca="false">$C51+Q$4*$D51-$E51</f>
        <v>268126</v>
      </c>
      <c r="R51" s="39" t="n">
        <f aca="false">$C51+R$4*$D51-$E51</f>
        <v>288576</v>
      </c>
    </row>
    <row r="52" customFormat="false" ht="15" hidden="false" customHeight="false" outlineLevel="0" collapsed="false">
      <c r="A52" s="12" t="s">
        <v>868</v>
      </c>
      <c r="B52" s="30" t="str">
        <f aca="false">'Análisis Compactación'!A52</f>
        <v>SDR | CASE | 1107EX</v>
      </c>
      <c r="C52" s="32" t="n">
        <f aca="false">'Análisis Compactación'!F52</f>
        <v>84076</v>
      </c>
      <c r="D52" s="34" t="n">
        <f aca="false">'Análisis Compactación'!AB52</f>
        <v>20.45</v>
      </c>
      <c r="E52" s="32" t="n">
        <f aca="false">'Análisis Compactación'!J52</f>
        <v>0</v>
      </c>
      <c r="F52" s="39" t="n">
        <f aca="false">$C52+F$4*$D52-$E52</f>
        <v>84076</v>
      </c>
      <c r="G52" s="39" t="n">
        <f aca="false">$C52+G$4*$D52-$E52</f>
        <v>104526</v>
      </c>
      <c r="H52" s="39" t="n">
        <f aca="false">$C52+H$4*$D52-$E52</f>
        <v>114751</v>
      </c>
      <c r="I52" s="39" t="n">
        <f aca="false">$C52+I$4*$D52-$E52</f>
        <v>124976</v>
      </c>
      <c r="J52" s="39" t="n">
        <f aca="false">$C52+J$4*$D52-$E52</f>
        <v>135201</v>
      </c>
      <c r="K52" s="39" t="n">
        <f aca="false">$C52+K$4*$D52-$E52</f>
        <v>145426</v>
      </c>
      <c r="L52" s="39" t="n">
        <f aca="false">$C52+L$4*$D52-$E52</f>
        <v>165876</v>
      </c>
      <c r="M52" s="39" t="n">
        <f aca="false">$C52+M$4*$D52-$E52</f>
        <v>186326</v>
      </c>
      <c r="N52" s="39" t="n">
        <f aca="false">$C52+N$4*$D52-$E52</f>
        <v>206776</v>
      </c>
      <c r="O52" s="39" t="n">
        <f aca="false">$C52+O$4*$D52-$E52</f>
        <v>227226</v>
      </c>
      <c r="P52" s="39" t="n">
        <f aca="false">$C52+P$4*$D52-$E52</f>
        <v>247676</v>
      </c>
      <c r="Q52" s="39" t="n">
        <f aca="false">$C52+Q$4*$D52-$E52</f>
        <v>268126</v>
      </c>
      <c r="R52" s="39" t="n">
        <f aca="false">$C52+R$4*$D52-$E52</f>
        <v>288576</v>
      </c>
    </row>
    <row r="53" customFormat="false" ht="15" hidden="false" customHeight="false" outlineLevel="0" collapsed="false">
      <c r="A53" s="12" t="s">
        <v>870</v>
      </c>
      <c r="B53" s="30" t="str">
        <f aca="false">'Análisis Compactación'!A53</f>
        <v>LTR | BOMAG | BW120 AD-5</v>
      </c>
      <c r="C53" s="32" t="n">
        <f aca="false">'Análisis Compactación'!F53</f>
        <v>28000</v>
      </c>
      <c r="D53" s="34" t="n">
        <f aca="false">'Análisis Compactación'!AB53</f>
        <v>5.42</v>
      </c>
      <c r="E53" s="32" t="n">
        <f aca="false">'Análisis Compactación'!J53</f>
        <v>0</v>
      </c>
      <c r="F53" s="39" t="n">
        <f aca="false">$C53+F$4*$D53-$E53</f>
        <v>28000</v>
      </c>
      <c r="G53" s="39" t="n">
        <f aca="false">$C53+G$4*$D53-$E53</f>
        <v>33420</v>
      </c>
      <c r="H53" s="39" t="n">
        <f aca="false">$C53+H$4*$D53-$E53</f>
        <v>36130</v>
      </c>
      <c r="I53" s="39" t="n">
        <f aca="false">$C53+I$4*$D53-$E53</f>
        <v>38840</v>
      </c>
      <c r="J53" s="39" t="n">
        <f aca="false">$C53+J$4*$D53-$E53</f>
        <v>41550</v>
      </c>
      <c r="K53" s="39" t="n">
        <f aca="false">$C53+K$4*$D53-$E53</f>
        <v>44260</v>
      </c>
      <c r="L53" s="39" t="n">
        <f aca="false">$C53+L$4*$D53-$E53</f>
        <v>49680</v>
      </c>
      <c r="M53" s="39" t="n">
        <f aca="false">$C53+M$4*$D53-$E53</f>
        <v>55100</v>
      </c>
      <c r="N53" s="39" t="n">
        <f aca="false">$C53+N$4*$D53-$E53</f>
        <v>60520</v>
      </c>
      <c r="O53" s="39" t="n">
        <f aca="false">$C53+O$4*$D53-$E53</f>
        <v>65940</v>
      </c>
      <c r="P53" s="39" t="n">
        <f aca="false">$C53+P$4*$D53-$E53</f>
        <v>71360</v>
      </c>
      <c r="Q53" s="39" t="n">
        <f aca="false">$C53+Q$4*$D53-$E53</f>
        <v>76780</v>
      </c>
      <c r="R53" s="39" t="n">
        <f aca="false">$C53+R$4*$D53-$E53</f>
        <v>82200</v>
      </c>
    </row>
    <row r="54" customFormat="false" ht="15" hidden="false" customHeight="false" outlineLevel="0" collapsed="false">
      <c r="A54" s="12" t="s">
        <v>870</v>
      </c>
      <c r="B54" s="30" t="str">
        <f aca="false">'Análisis Compactación'!A54</f>
        <v>LTR | CATERPILLAR | CB2.7GC</v>
      </c>
      <c r="C54" s="32" t="n">
        <f aca="false">'Análisis Compactación'!F54</f>
        <v>29630</v>
      </c>
      <c r="D54" s="34" t="n">
        <f aca="false">'Análisis Compactación'!AB54</f>
        <v>5.76</v>
      </c>
      <c r="E54" s="32" t="n">
        <f aca="false">'Análisis Compactación'!J54</f>
        <v>0</v>
      </c>
      <c r="F54" s="39" t="n">
        <f aca="false">$C54+F$4*$D54-$E54</f>
        <v>29630</v>
      </c>
      <c r="G54" s="39" t="n">
        <f aca="false">$C54+G$4*$D54-$E54</f>
        <v>35390</v>
      </c>
      <c r="H54" s="39" t="n">
        <f aca="false">$C54+H$4*$D54-$E54</f>
        <v>38270</v>
      </c>
      <c r="I54" s="39" t="n">
        <f aca="false">$C54+I$4*$D54-$E54</f>
        <v>41150</v>
      </c>
      <c r="J54" s="39" t="n">
        <f aca="false">$C54+J$4*$D54-$E54</f>
        <v>44030</v>
      </c>
      <c r="K54" s="39" t="n">
        <f aca="false">$C54+K$4*$D54-$E54</f>
        <v>46910</v>
      </c>
      <c r="L54" s="39" t="n">
        <f aca="false">$C54+L$4*$D54-$E54</f>
        <v>52670</v>
      </c>
      <c r="M54" s="39" t="n">
        <f aca="false">$C54+M$4*$D54-$E54</f>
        <v>58430</v>
      </c>
      <c r="N54" s="39" t="n">
        <f aca="false">$C54+N$4*$D54-$E54</f>
        <v>64190</v>
      </c>
      <c r="O54" s="39" t="n">
        <f aca="false">$C54+O$4*$D54-$E54</f>
        <v>69950</v>
      </c>
      <c r="P54" s="39" t="n">
        <f aca="false">$C54+P$4*$D54-$E54</f>
        <v>75710</v>
      </c>
      <c r="Q54" s="39" t="n">
        <f aca="false">$C54+Q$4*$D54-$E54</f>
        <v>81470</v>
      </c>
      <c r="R54" s="39" t="n">
        <f aca="false">$C54+R$4*$D54-$E54</f>
        <v>87230</v>
      </c>
    </row>
    <row r="55" customFormat="false" ht="15" hidden="false" customHeight="false" outlineLevel="0" collapsed="false">
      <c r="A55" s="12" t="s">
        <v>870</v>
      </c>
      <c r="B55" s="30" t="str">
        <f aca="false">'Análisis Compactación'!A55</f>
        <v>LTR | HAMM | HD12 VV</v>
      </c>
      <c r="C55" s="32" t="n">
        <f aca="false">'Análisis Compactación'!F55</f>
        <v>29580</v>
      </c>
      <c r="D55" s="34" t="n">
        <f aca="false">'Análisis Compactación'!AB55</f>
        <v>5.86</v>
      </c>
      <c r="E55" s="32" t="n">
        <f aca="false">'Análisis Compactación'!J55</f>
        <v>0</v>
      </c>
      <c r="F55" s="39" t="n">
        <f aca="false">$C55+F$4*$D55-$E55</f>
        <v>29580</v>
      </c>
      <c r="G55" s="39" t="n">
        <f aca="false">$C55+G$4*$D55-$E55</f>
        <v>35440</v>
      </c>
      <c r="H55" s="39" t="n">
        <f aca="false">$C55+H$4*$D55-$E55</f>
        <v>38370</v>
      </c>
      <c r="I55" s="39" t="n">
        <f aca="false">$C55+I$4*$D55-$E55</f>
        <v>41300</v>
      </c>
      <c r="J55" s="39" t="n">
        <f aca="false">$C55+J$4*$D55-$E55</f>
        <v>44230</v>
      </c>
      <c r="K55" s="39" t="n">
        <f aca="false">$C55+K$4*$D55-$E55</f>
        <v>47160</v>
      </c>
      <c r="L55" s="39" t="n">
        <f aca="false">$C55+L$4*$D55-$E55</f>
        <v>53020</v>
      </c>
      <c r="M55" s="39" t="n">
        <f aca="false">$C55+M$4*$D55-$E55</f>
        <v>58880</v>
      </c>
      <c r="N55" s="39" t="n">
        <f aca="false">$C55+N$4*$D55-$E55</f>
        <v>64740</v>
      </c>
      <c r="O55" s="39" t="n">
        <f aca="false">$C55+O$4*$D55-$E55</f>
        <v>70600</v>
      </c>
      <c r="P55" s="39" t="n">
        <f aca="false">$C55+P$4*$D55-$E55</f>
        <v>76460</v>
      </c>
      <c r="Q55" s="39" t="n">
        <f aca="false">$C55+Q$4*$D55-$E55</f>
        <v>82320</v>
      </c>
      <c r="R55" s="39" t="n">
        <f aca="false">$C55+R$4*$D55-$E55</f>
        <v>88180</v>
      </c>
    </row>
    <row r="56" customFormat="false" ht="15" hidden="false" customHeight="false" outlineLevel="0" collapsed="false">
      <c r="A56" s="12" t="s">
        <v>870</v>
      </c>
      <c r="B56" s="30" t="str">
        <f aca="false">'Análisis Compactación'!A56</f>
        <v>LTR | DYNAPAC | CC1200</v>
      </c>
      <c r="C56" s="32" t="n">
        <f aca="false">'Análisis Compactación'!F56</f>
        <v>26783</v>
      </c>
      <c r="D56" s="34" t="n">
        <f aca="false">'Análisis Compactación'!AB56</f>
        <v>5.64</v>
      </c>
      <c r="E56" s="32" t="n">
        <f aca="false">'Análisis Compactación'!J56</f>
        <v>0</v>
      </c>
      <c r="F56" s="39" t="n">
        <f aca="false">$C56+F$4*$D56-$E56</f>
        <v>26783</v>
      </c>
      <c r="G56" s="39" t="n">
        <f aca="false">$C56+G$4*$D56-$E56</f>
        <v>32423</v>
      </c>
      <c r="H56" s="39" t="n">
        <f aca="false">$C56+H$4*$D56-$E56</f>
        <v>35243</v>
      </c>
      <c r="I56" s="39" t="n">
        <f aca="false">$C56+I$4*$D56-$E56</f>
        <v>38063</v>
      </c>
      <c r="J56" s="39" t="n">
        <f aca="false">$C56+J$4*$D56-$E56</f>
        <v>40883</v>
      </c>
      <c r="K56" s="39" t="n">
        <f aca="false">$C56+K$4*$D56-$E56</f>
        <v>43703</v>
      </c>
      <c r="L56" s="39" t="n">
        <f aca="false">$C56+L$4*$D56-$E56</f>
        <v>49343</v>
      </c>
      <c r="M56" s="39" t="n">
        <f aca="false">$C56+M$4*$D56-$E56</f>
        <v>54983</v>
      </c>
      <c r="N56" s="39" t="n">
        <f aca="false">$C56+N$4*$D56-$E56</f>
        <v>60623</v>
      </c>
      <c r="O56" s="39" t="n">
        <f aca="false">$C56+O$4*$D56-$E56</f>
        <v>66263</v>
      </c>
      <c r="P56" s="39" t="n">
        <f aca="false">$C56+P$4*$D56-$E56</f>
        <v>71903</v>
      </c>
      <c r="Q56" s="39" t="n">
        <f aca="false">$C56+Q$4*$D56-$E56</f>
        <v>77543</v>
      </c>
      <c r="R56" s="39" t="n">
        <f aca="false">$C56+R$4*$D56-$E56</f>
        <v>83183</v>
      </c>
    </row>
    <row r="57" customFormat="false" ht="15" hidden="false" customHeight="false" outlineLevel="0" collapsed="false">
      <c r="A57" s="12" t="s">
        <v>870</v>
      </c>
      <c r="B57" s="30" t="str">
        <f aca="false">'Análisis Compactación'!A57</f>
        <v>LTR | AMMANN | ARX 26</v>
      </c>
      <c r="C57" s="32" t="n">
        <f aca="false">'Análisis Compactación'!F57</f>
        <v>25500</v>
      </c>
      <c r="D57" s="34" t="n">
        <f aca="false">'Análisis Compactación'!AB57</f>
        <v>6.14</v>
      </c>
      <c r="E57" s="32" t="n">
        <f aca="false">'Análisis Compactación'!J57</f>
        <v>0</v>
      </c>
      <c r="F57" s="39" t="n">
        <f aca="false">$C57+F$4*$D57-$E57</f>
        <v>25500</v>
      </c>
      <c r="G57" s="39" t="n">
        <f aca="false">$C57+G$4*$D57-$E57</f>
        <v>31640</v>
      </c>
      <c r="H57" s="39" t="n">
        <f aca="false">$C57+H$4*$D57-$E57</f>
        <v>34710</v>
      </c>
      <c r="I57" s="39" t="n">
        <f aca="false">$C57+I$4*$D57-$E57</f>
        <v>37780</v>
      </c>
      <c r="J57" s="39" t="n">
        <f aca="false">$C57+J$4*$D57-$E57</f>
        <v>40850</v>
      </c>
      <c r="K57" s="39" t="n">
        <f aca="false">$C57+K$4*$D57-$E57</f>
        <v>43920</v>
      </c>
      <c r="L57" s="39" t="n">
        <f aca="false">$C57+L$4*$D57-$E57</f>
        <v>50060</v>
      </c>
      <c r="M57" s="39" t="n">
        <f aca="false">$C57+M$4*$D57-$E57</f>
        <v>56200</v>
      </c>
      <c r="N57" s="39" t="n">
        <f aca="false">$C57+N$4*$D57-$E57</f>
        <v>62340</v>
      </c>
      <c r="O57" s="39" t="n">
        <f aca="false">$C57+O$4*$D57-$E57</f>
        <v>68480</v>
      </c>
      <c r="P57" s="39" t="n">
        <f aca="false">$C57+P$4*$D57-$E57</f>
        <v>74620</v>
      </c>
      <c r="Q57" s="39" t="n">
        <f aca="false">$C57+Q$4*$D57-$E57</f>
        <v>80760</v>
      </c>
      <c r="R57" s="39" t="n">
        <f aca="false">$C57+R$4*$D57-$E57</f>
        <v>86900</v>
      </c>
    </row>
    <row r="58" customFormat="false" ht="15" hidden="false" customHeight="false" outlineLevel="0" collapsed="false">
      <c r="A58" s="12" t="s">
        <v>870</v>
      </c>
      <c r="B58" s="30" t="str">
        <f aca="false">'Análisis Compactación'!A58</f>
        <v>LTR | JCB | CT260</v>
      </c>
      <c r="C58" s="32" t="n">
        <f aca="false">'Análisis Compactación'!F58</f>
        <v>23500</v>
      </c>
      <c r="D58" s="34" t="n">
        <f aca="false">'Análisis Compactación'!AB58</f>
        <v>6.74</v>
      </c>
      <c r="E58" s="32" t="n">
        <f aca="false">'Análisis Compactación'!J58</f>
        <v>0</v>
      </c>
      <c r="F58" s="39" t="n">
        <f aca="false">$C58+F$4*$D58-$E58</f>
        <v>23500</v>
      </c>
      <c r="G58" s="39" t="n">
        <f aca="false">$C58+G$4*$D58-$E58</f>
        <v>30240</v>
      </c>
      <c r="H58" s="39" t="n">
        <f aca="false">$C58+H$4*$D58-$E58</f>
        <v>33610</v>
      </c>
      <c r="I58" s="39" t="n">
        <f aca="false">$C58+I$4*$D58-$E58</f>
        <v>36980</v>
      </c>
      <c r="J58" s="39" t="n">
        <f aca="false">$C58+J$4*$D58-$E58</f>
        <v>40350</v>
      </c>
      <c r="K58" s="39" t="n">
        <f aca="false">$C58+K$4*$D58-$E58</f>
        <v>43720</v>
      </c>
      <c r="L58" s="39" t="n">
        <f aca="false">$C58+L$4*$D58-$E58</f>
        <v>50460</v>
      </c>
      <c r="M58" s="39" t="n">
        <f aca="false">$C58+M$4*$D58-$E58</f>
        <v>57200</v>
      </c>
      <c r="N58" s="39" t="n">
        <f aca="false">$C58+N$4*$D58-$E58</f>
        <v>63940</v>
      </c>
      <c r="O58" s="39" t="n">
        <f aca="false">$C58+O$4*$D58-$E58</f>
        <v>70680</v>
      </c>
      <c r="P58" s="39" t="n">
        <f aca="false">$C58+P$4*$D58-$E58</f>
        <v>77420</v>
      </c>
      <c r="Q58" s="39" t="n">
        <f aca="false">$C58+Q$4*$D58-$E58</f>
        <v>84160</v>
      </c>
      <c r="R58" s="39" t="n">
        <f aca="false">$C58+R$4*$D58-$E58</f>
        <v>90900</v>
      </c>
    </row>
    <row r="59" customFormat="false" ht="15" hidden="false" customHeight="false" outlineLevel="0" collapsed="false">
      <c r="A59" s="12" t="s">
        <v>870</v>
      </c>
      <c r="B59" s="30" t="str">
        <f aca="false">'Análisis Compactación'!A59</f>
        <v>LTR | WACKER NEUSON | RD27</v>
      </c>
      <c r="C59" s="32" t="n">
        <f aca="false">'Análisis Compactación'!F59</f>
        <v>23500</v>
      </c>
      <c r="D59" s="34" t="n">
        <f aca="false">'Análisis Compactación'!AB59</f>
        <v>6.74</v>
      </c>
      <c r="E59" s="32" t="n">
        <f aca="false">'Análisis Compactación'!J59</f>
        <v>0</v>
      </c>
      <c r="F59" s="39" t="n">
        <f aca="false">$C59+F$4*$D59-$E59</f>
        <v>23500</v>
      </c>
      <c r="G59" s="39" t="n">
        <f aca="false">$C59+G$4*$D59-$E59</f>
        <v>30240</v>
      </c>
      <c r="H59" s="39" t="n">
        <f aca="false">$C59+H$4*$D59-$E59</f>
        <v>33610</v>
      </c>
      <c r="I59" s="39" t="n">
        <f aca="false">$C59+I$4*$D59-$E59</f>
        <v>36980</v>
      </c>
      <c r="J59" s="39" t="n">
        <f aca="false">$C59+J$4*$D59-$E59</f>
        <v>40350</v>
      </c>
      <c r="K59" s="39" t="n">
        <f aca="false">$C59+K$4*$D59-$E59</f>
        <v>43720</v>
      </c>
      <c r="L59" s="39" t="n">
        <f aca="false">$C59+L$4*$D59-$E59</f>
        <v>50460</v>
      </c>
      <c r="M59" s="39" t="n">
        <f aca="false">$C59+M$4*$D59-$E59</f>
        <v>57200</v>
      </c>
      <c r="N59" s="39" t="n">
        <f aca="false">$C59+N$4*$D59-$E59</f>
        <v>63940</v>
      </c>
      <c r="O59" s="39" t="n">
        <f aca="false">$C59+O$4*$D59-$E59</f>
        <v>70680</v>
      </c>
      <c r="P59" s="39" t="n">
        <f aca="false">$C59+P$4*$D59-$E59</f>
        <v>77420</v>
      </c>
      <c r="Q59" s="39" t="n">
        <f aca="false">$C59+Q$4*$D59-$E59</f>
        <v>84160</v>
      </c>
      <c r="R59" s="39" t="n">
        <f aca="false">$C59+R$4*$D59-$E59</f>
        <v>90900</v>
      </c>
    </row>
    <row r="60" customFormat="false" ht="15" hidden="false" customHeight="false" outlineLevel="0" collapsed="false">
      <c r="A60" s="12" t="s">
        <v>871</v>
      </c>
      <c r="B60" s="30" t="str">
        <f aca="false">'Análisis Compactación'!A60</f>
        <v>HTR | BOMAG | BW161 AD-4</v>
      </c>
      <c r="C60" s="32" t="n">
        <f aca="false">'Análisis Compactación'!F60</f>
        <v>28000</v>
      </c>
      <c r="D60" s="34" t="n">
        <f aca="false">'Análisis Compactación'!AB60</f>
        <v>17.16</v>
      </c>
      <c r="E60" s="32" t="n">
        <f aca="false">'Análisis Compactación'!J60</f>
        <v>0</v>
      </c>
      <c r="F60" s="39" t="n">
        <f aca="false">$C60+F$4*$D60-$E60</f>
        <v>28000</v>
      </c>
      <c r="G60" s="39" t="n">
        <f aca="false">$C60+G$4*$D60-$E60</f>
        <v>45160</v>
      </c>
      <c r="H60" s="39" t="n">
        <f aca="false">$C60+H$4*$D60-$E60</f>
        <v>53740</v>
      </c>
      <c r="I60" s="39" t="n">
        <f aca="false">$C60+I$4*$D60-$E60</f>
        <v>62320</v>
      </c>
      <c r="J60" s="39" t="n">
        <f aca="false">$C60+J$4*$D60-$E60</f>
        <v>70900</v>
      </c>
      <c r="K60" s="39" t="n">
        <f aca="false">$C60+K$4*$D60-$E60</f>
        <v>79480</v>
      </c>
      <c r="L60" s="39" t="n">
        <f aca="false">$C60+L$4*$D60-$E60</f>
        <v>96640</v>
      </c>
      <c r="M60" s="39" t="n">
        <f aca="false">$C60+M$4*$D60-$E60</f>
        <v>113800</v>
      </c>
      <c r="N60" s="39" t="n">
        <f aca="false">$C60+N$4*$D60-$E60</f>
        <v>130960</v>
      </c>
      <c r="O60" s="39" t="n">
        <f aca="false">$C60+O$4*$D60-$E60</f>
        <v>148120</v>
      </c>
      <c r="P60" s="39" t="n">
        <f aca="false">$C60+P$4*$D60-$E60</f>
        <v>165280</v>
      </c>
      <c r="Q60" s="39" t="n">
        <f aca="false">$C60+Q$4*$D60-$E60</f>
        <v>182440</v>
      </c>
      <c r="R60" s="39" t="n">
        <f aca="false">$C60+R$4*$D60-$E60</f>
        <v>199600</v>
      </c>
    </row>
    <row r="61" customFormat="false" ht="15" hidden="false" customHeight="false" outlineLevel="0" collapsed="false">
      <c r="A61" s="12" t="s">
        <v>871</v>
      </c>
      <c r="B61" s="30" t="str">
        <f aca="false">'Análisis Compactación'!A61</f>
        <v>HTR | AMMANN | AV110X</v>
      </c>
      <c r="C61" s="32" t="n">
        <f aca="false">'Análisis Compactación'!F61</f>
        <v>28000</v>
      </c>
      <c r="D61" s="34" t="n">
        <f aca="false">'Análisis Compactación'!AB61</f>
        <v>17.16</v>
      </c>
      <c r="E61" s="32" t="n">
        <f aca="false">'Análisis Compactación'!J61</f>
        <v>0</v>
      </c>
      <c r="F61" s="39" t="n">
        <f aca="false">$C61+F$4*$D61-$E61</f>
        <v>28000</v>
      </c>
      <c r="G61" s="39" t="n">
        <f aca="false">$C61+G$4*$D61-$E61</f>
        <v>45160</v>
      </c>
      <c r="H61" s="39" t="n">
        <f aca="false">$C61+H$4*$D61-$E61</f>
        <v>53740</v>
      </c>
      <c r="I61" s="39" t="n">
        <f aca="false">$C61+I$4*$D61-$E61</f>
        <v>62320</v>
      </c>
      <c r="J61" s="39" t="n">
        <f aca="false">$C61+J$4*$D61-$E61</f>
        <v>70900</v>
      </c>
      <c r="K61" s="39" t="n">
        <f aca="false">$C61+K$4*$D61-$E61</f>
        <v>79480</v>
      </c>
      <c r="L61" s="39" t="n">
        <f aca="false">$C61+L$4*$D61-$E61</f>
        <v>96640</v>
      </c>
      <c r="M61" s="39" t="n">
        <f aca="false">$C61+M$4*$D61-$E61</f>
        <v>113800</v>
      </c>
      <c r="N61" s="39" t="n">
        <f aca="false">$C61+N$4*$D61-$E61</f>
        <v>130960</v>
      </c>
      <c r="O61" s="39" t="n">
        <f aca="false">$C61+O$4*$D61-$E61</f>
        <v>148120</v>
      </c>
      <c r="P61" s="39" t="n">
        <f aca="false">$C61+P$4*$D61-$E61</f>
        <v>165280</v>
      </c>
      <c r="Q61" s="39" t="n">
        <f aca="false">$C61+Q$4*$D61-$E61</f>
        <v>182440</v>
      </c>
      <c r="R61" s="39" t="n">
        <f aca="false">$C61+R$4*$D61-$E61</f>
        <v>199600</v>
      </c>
    </row>
    <row r="62" customFormat="false" ht="15" hidden="false" customHeight="false" outlineLevel="0" collapsed="false">
      <c r="A62" s="12" t="s">
        <v>871</v>
      </c>
      <c r="B62" s="30" t="str">
        <f aca="false">'Análisis Compactación'!A62</f>
        <v>HTR | CATERPILLAR | CB10</v>
      </c>
      <c r="C62" s="32" t="n">
        <f aca="false">'Análisis Compactación'!F62</f>
        <v>28000</v>
      </c>
      <c r="D62" s="34" t="n">
        <f aca="false">'Análisis Compactación'!AB62</f>
        <v>17.16</v>
      </c>
      <c r="E62" s="32" t="n">
        <f aca="false">'Análisis Compactación'!J62</f>
        <v>0</v>
      </c>
      <c r="F62" s="39" t="n">
        <f aca="false">$C62+F$4*$D62-$E62</f>
        <v>28000</v>
      </c>
      <c r="G62" s="39" t="n">
        <f aca="false">$C62+G$4*$D62-$E62</f>
        <v>45160</v>
      </c>
      <c r="H62" s="39" t="n">
        <f aca="false">$C62+H$4*$D62-$E62</f>
        <v>53740</v>
      </c>
      <c r="I62" s="39" t="n">
        <f aca="false">$C62+I$4*$D62-$E62</f>
        <v>62320</v>
      </c>
      <c r="J62" s="39" t="n">
        <f aca="false">$C62+J$4*$D62-$E62</f>
        <v>70900</v>
      </c>
      <c r="K62" s="39" t="n">
        <f aca="false">$C62+K$4*$D62-$E62</f>
        <v>79480</v>
      </c>
      <c r="L62" s="39" t="n">
        <f aca="false">$C62+L$4*$D62-$E62</f>
        <v>96640</v>
      </c>
      <c r="M62" s="39" t="n">
        <f aca="false">$C62+M$4*$D62-$E62</f>
        <v>113800</v>
      </c>
      <c r="N62" s="39" t="n">
        <f aca="false">$C62+N$4*$D62-$E62</f>
        <v>130960</v>
      </c>
      <c r="O62" s="39" t="n">
        <f aca="false">$C62+O$4*$D62-$E62</f>
        <v>148120</v>
      </c>
      <c r="P62" s="39" t="n">
        <f aca="false">$C62+P$4*$D62-$E62</f>
        <v>165280</v>
      </c>
      <c r="Q62" s="39" t="n">
        <f aca="false">$C62+Q$4*$D62-$E62</f>
        <v>182440</v>
      </c>
      <c r="R62" s="39" t="n">
        <f aca="false">$C62+R$4*$D62-$E62</f>
        <v>199600</v>
      </c>
    </row>
    <row r="63" customFormat="false" ht="15" hidden="false" customHeight="false" outlineLevel="0" collapsed="false">
      <c r="A63" s="12" t="s">
        <v>871</v>
      </c>
      <c r="B63" s="30" t="str">
        <f aca="false">'Análisis Compactación'!A63</f>
        <v>HTR | DYNAPAC | CC4200</v>
      </c>
      <c r="C63" s="32" t="n">
        <f aca="false">'Análisis Compactación'!F63</f>
        <v>28000</v>
      </c>
      <c r="D63" s="34" t="n">
        <f aca="false">'Análisis Compactación'!AB63</f>
        <v>17.16</v>
      </c>
      <c r="E63" s="32" t="n">
        <f aca="false">'Análisis Compactación'!J63</f>
        <v>0</v>
      </c>
      <c r="F63" s="39" t="n">
        <f aca="false">$C63+F$4*$D63-$E63</f>
        <v>28000</v>
      </c>
      <c r="G63" s="39" t="n">
        <f aca="false">$C63+G$4*$D63-$E63</f>
        <v>45160</v>
      </c>
      <c r="H63" s="39" t="n">
        <f aca="false">$C63+H$4*$D63-$E63</f>
        <v>53740</v>
      </c>
      <c r="I63" s="39" t="n">
        <f aca="false">$C63+I$4*$D63-$E63</f>
        <v>62320</v>
      </c>
      <c r="J63" s="39" t="n">
        <f aca="false">$C63+J$4*$D63-$E63</f>
        <v>70900</v>
      </c>
      <c r="K63" s="39" t="n">
        <f aca="false">$C63+K$4*$D63-$E63</f>
        <v>79480</v>
      </c>
      <c r="L63" s="39" t="n">
        <f aca="false">$C63+L$4*$D63-$E63</f>
        <v>96640</v>
      </c>
      <c r="M63" s="39" t="n">
        <f aca="false">$C63+M$4*$D63-$E63</f>
        <v>113800</v>
      </c>
      <c r="N63" s="39" t="n">
        <f aca="false">$C63+N$4*$D63-$E63</f>
        <v>130960</v>
      </c>
      <c r="O63" s="39" t="n">
        <f aca="false">$C63+O$4*$D63-$E63</f>
        <v>148120</v>
      </c>
      <c r="P63" s="39" t="n">
        <f aca="false">$C63+P$4*$D63-$E63</f>
        <v>165280</v>
      </c>
      <c r="Q63" s="39" t="n">
        <f aca="false">$C63+Q$4*$D63-$E63</f>
        <v>182440</v>
      </c>
      <c r="R63" s="39" t="n">
        <f aca="false">$C63+R$4*$D63-$E63</f>
        <v>199600</v>
      </c>
    </row>
    <row r="64" customFormat="false" ht="15" hidden="false" customHeight="false" outlineLevel="0" collapsed="false">
      <c r="A64" s="12" t="s">
        <v>871</v>
      </c>
      <c r="B64" s="30" t="str">
        <f aca="false">'Análisis Compactación'!A64</f>
        <v>HTR | HAMM | HD90 VV</v>
      </c>
      <c r="C64" s="32" t="n">
        <f aca="false">'Análisis Compactación'!F64</f>
        <v>28000</v>
      </c>
      <c r="D64" s="34" t="n">
        <f aca="false">'Análisis Compactación'!AB64</f>
        <v>17.16</v>
      </c>
      <c r="E64" s="32" t="n">
        <f aca="false">'Análisis Compactación'!J64</f>
        <v>0</v>
      </c>
      <c r="F64" s="39" t="n">
        <f aca="false">$C64+F$4*$D64-$E64</f>
        <v>28000</v>
      </c>
      <c r="G64" s="39" t="n">
        <f aca="false">$C64+G$4*$D64-$E64</f>
        <v>45160</v>
      </c>
      <c r="H64" s="39" t="n">
        <f aca="false">$C64+H$4*$D64-$E64</f>
        <v>53740</v>
      </c>
      <c r="I64" s="39" t="n">
        <f aca="false">$C64+I$4*$D64-$E64</f>
        <v>62320</v>
      </c>
      <c r="J64" s="39" t="n">
        <f aca="false">$C64+J$4*$D64-$E64</f>
        <v>70900</v>
      </c>
      <c r="K64" s="39" t="n">
        <f aca="false">$C64+K$4*$D64-$E64</f>
        <v>79480</v>
      </c>
      <c r="L64" s="39" t="n">
        <f aca="false">$C64+L$4*$D64-$E64</f>
        <v>96640</v>
      </c>
      <c r="M64" s="39" t="n">
        <f aca="false">$C64+M$4*$D64-$E64</f>
        <v>113800</v>
      </c>
      <c r="N64" s="39" t="n">
        <f aca="false">$C64+N$4*$D64-$E64</f>
        <v>130960</v>
      </c>
      <c r="O64" s="39" t="n">
        <f aca="false">$C64+O$4*$D64-$E64</f>
        <v>148120</v>
      </c>
      <c r="P64" s="39" t="n">
        <f aca="false">$C64+P$4*$D64-$E64</f>
        <v>165280</v>
      </c>
      <c r="Q64" s="39" t="n">
        <f aca="false">$C64+Q$4*$D64-$E64</f>
        <v>182440</v>
      </c>
      <c r="R64" s="39" t="n">
        <f aca="false">$C64+R$4*$D64-$E64</f>
        <v>199600</v>
      </c>
    </row>
    <row r="65" customFormat="false" ht="15" hidden="false" customHeight="false" outlineLevel="0" collapsed="false">
      <c r="A65" s="12" t="s">
        <v>924</v>
      </c>
      <c r="B65" s="30" t="str">
        <f aca="false">'Análisis Fresadoras'!A4</f>
        <v>BOMAG | BM 1000/20</v>
      </c>
      <c r="C65" s="32" t="n">
        <f aca="false">'Análisis Fresadoras'!D4</f>
        <v>0</v>
      </c>
      <c r="D65" s="34" t="n">
        <f aca="false">'Análisis Fresadoras'!Y4</f>
        <v>47.2</v>
      </c>
      <c r="E65" s="32" t="n">
        <f aca="false">'Análisis Fresadoras'!W4</f>
        <v>0</v>
      </c>
      <c r="F65" s="39" t="n">
        <f aca="false">$C65+F$4*$D65-$E65</f>
        <v>0</v>
      </c>
      <c r="G65" s="39" t="n">
        <f aca="false">$C65+G$4*$D65-$E65</f>
        <v>47200</v>
      </c>
      <c r="H65" s="39" t="n">
        <f aca="false">$C65+H$4*$D65-$E65</f>
        <v>70800</v>
      </c>
      <c r="I65" s="39" t="n">
        <f aca="false">$C65+I$4*$D65-$E65</f>
        <v>94400</v>
      </c>
      <c r="J65" s="39" t="n">
        <f aca="false">$C65+J$4*$D65-$E65</f>
        <v>118000</v>
      </c>
      <c r="K65" s="39" t="n">
        <f aca="false">$C65+K$4*$D65-$E65</f>
        <v>141600</v>
      </c>
      <c r="L65" s="39" t="n">
        <f aca="false">$C65+L$4*$D65-$E65</f>
        <v>188800</v>
      </c>
      <c r="M65" s="39" t="n">
        <f aca="false">$C65+M$4*$D65-$E65</f>
        <v>236000</v>
      </c>
      <c r="N65" s="39" t="n">
        <f aca="false">$C65+N$4*$D65-$E65</f>
        <v>283200</v>
      </c>
      <c r="O65" s="39" t="n">
        <f aca="false">$C65+O$4*$D65-$E65</f>
        <v>330400</v>
      </c>
      <c r="P65" s="39" t="n">
        <f aca="false">$C65+P$4*$D65-$E65</f>
        <v>377600</v>
      </c>
      <c r="Q65" s="39" t="n">
        <f aca="false">$C65+Q$4*$D65-$E65</f>
        <v>424800</v>
      </c>
      <c r="R65" s="39" t="n">
        <f aca="false">$C65+R$4*$D65-$E65</f>
        <v>472000</v>
      </c>
    </row>
    <row r="66" customFormat="false" ht="15" hidden="false" customHeight="false" outlineLevel="0" collapsed="false">
      <c r="A66" s="12" t="s">
        <v>924</v>
      </c>
      <c r="B66" s="30" t="str">
        <f aca="false">'Análisis Fresadoras'!A5</f>
        <v>SANY | SCM1000C-8</v>
      </c>
      <c r="C66" s="32" t="n">
        <f aca="false">'Análisis Fresadoras'!D5</f>
        <v>0</v>
      </c>
      <c r="D66" s="34" t="n">
        <f aca="false">'Análisis Fresadoras'!Y5</f>
        <v>66.4</v>
      </c>
      <c r="E66" s="32" t="n">
        <f aca="false">'Análisis Fresadoras'!W5</f>
        <v>0</v>
      </c>
      <c r="F66" s="39" t="n">
        <f aca="false">$C66+F$4*$D66-$E66</f>
        <v>0</v>
      </c>
      <c r="G66" s="39" t="n">
        <f aca="false">$C66+G$4*$D66-$E66</f>
        <v>66400</v>
      </c>
      <c r="H66" s="39" t="n">
        <f aca="false">$C66+H$4*$D66-$E66</f>
        <v>99600</v>
      </c>
      <c r="I66" s="39" t="n">
        <f aca="false">$C66+I$4*$D66-$E66</f>
        <v>132800</v>
      </c>
      <c r="J66" s="39" t="n">
        <f aca="false">$C66+J$4*$D66-$E66</f>
        <v>166000</v>
      </c>
      <c r="K66" s="39" t="n">
        <f aca="false">$C66+K$4*$D66-$E66</f>
        <v>199200</v>
      </c>
      <c r="L66" s="39" t="n">
        <f aca="false">$C66+L$4*$D66-$E66</f>
        <v>265600</v>
      </c>
      <c r="M66" s="39" t="n">
        <f aca="false">$C66+M$4*$D66-$E66</f>
        <v>332000</v>
      </c>
      <c r="N66" s="39" t="n">
        <f aca="false">$C66+N$4*$D66-$E66</f>
        <v>398400</v>
      </c>
      <c r="O66" s="39" t="n">
        <f aca="false">$C66+O$4*$D66-$E66</f>
        <v>464800</v>
      </c>
      <c r="P66" s="39" t="n">
        <f aca="false">$C66+P$4*$D66-$E66</f>
        <v>531200</v>
      </c>
      <c r="Q66" s="39" t="n">
        <f aca="false">$C66+Q$4*$D66-$E66</f>
        <v>597600</v>
      </c>
      <c r="R66" s="39" t="n">
        <f aca="false">$C66+R$4*$D66-$E66</f>
        <v>664000</v>
      </c>
    </row>
    <row r="67" customFormat="false" ht="15" hidden="false" customHeight="false" outlineLevel="0" collapsed="false">
      <c r="A67" s="12" t="s">
        <v>924</v>
      </c>
      <c r="B67" s="30" t="str">
        <f aca="false">'Análisis Fresadoras'!A6</f>
        <v>XCMG | XM1005H</v>
      </c>
      <c r="C67" s="32" t="n">
        <f aca="false">'Análisis Fresadoras'!D6</f>
        <v>0</v>
      </c>
      <c r="D67" s="34" t="n">
        <f aca="false">'Análisis Fresadoras'!Y6</f>
        <v>56.6</v>
      </c>
      <c r="E67" s="32" t="n">
        <f aca="false">'Análisis Fresadoras'!W6</f>
        <v>0</v>
      </c>
      <c r="F67" s="39" t="n">
        <f aca="false">$C67+F$4*$D67-$E67</f>
        <v>0</v>
      </c>
      <c r="G67" s="39" t="n">
        <f aca="false">$C67+G$4*$D67-$E67</f>
        <v>56600</v>
      </c>
      <c r="H67" s="39" t="n">
        <f aca="false">$C67+H$4*$D67-$E67</f>
        <v>84900</v>
      </c>
      <c r="I67" s="39" t="n">
        <f aca="false">$C67+I$4*$D67-$E67</f>
        <v>113200</v>
      </c>
      <c r="J67" s="39" t="n">
        <f aca="false">$C67+J$4*$D67-$E67</f>
        <v>141500</v>
      </c>
      <c r="K67" s="39" t="n">
        <f aca="false">$C67+K$4*$D67-$E67</f>
        <v>169800</v>
      </c>
      <c r="L67" s="39" t="n">
        <f aca="false">$C67+L$4*$D67-$E67</f>
        <v>226400</v>
      </c>
      <c r="M67" s="39" t="n">
        <f aca="false">$C67+M$4*$D67-$E67</f>
        <v>283000</v>
      </c>
      <c r="N67" s="39" t="n">
        <f aca="false">$C67+N$4*$D67-$E67</f>
        <v>339600</v>
      </c>
      <c r="O67" s="39" t="n">
        <f aca="false">$C67+O$4*$D67-$E67</f>
        <v>396200</v>
      </c>
      <c r="P67" s="39" t="n">
        <f aca="false">$C67+P$4*$D67-$E67</f>
        <v>452800</v>
      </c>
      <c r="Q67" s="39" t="n">
        <f aca="false">$C67+Q$4*$D67-$E67</f>
        <v>509400</v>
      </c>
      <c r="R67" s="39" t="n">
        <f aca="false">$C67+R$4*$D67-$E67</f>
        <v>566000</v>
      </c>
    </row>
    <row r="68" customFormat="false" ht="15" hidden="false" customHeight="false" outlineLevel="0" collapsed="false">
      <c r="A68" s="12" t="s">
        <v>925</v>
      </c>
      <c r="B68" s="30" t="str">
        <f aca="false">'Análisis Pavimentadoras'!A5</f>
        <v>CATERPILLAR | AP655</v>
      </c>
      <c r="C68" s="32" t="n">
        <f aca="false">'Análisis Pavimentadoras'!D5</f>
        <v>0</v>
      </c>
      <c r="D68" s="34" t="n">
        <f aca="false">'Análisis Pavimentadoras'!AC5</f>
        <v>42.79228</v>
      </c>
      <c r="E68" s="32" t="n">
        <f aca="false">'Análisis Pavimentadoras'!AA5</f>
        <v>0</v>
      </c>
      <c r="F68" s="39" t="n">
        <f aca="false">$C68+F$4*$D68-$E68</f>
        <v>0</v>
      </c>
      <c r="G68" s="39" t="n">
        <f aca="false">$C68+G$4*$D68-$E68</f>
        <v>42792.28</v>
      </c>
      <c r="H68" s="39" t="n">
        <f aca="false">$C68+H$4*$D68-$E68</f>
        <v>64188.42</v>
      </c>
      <c r="I68" s="39" t="n">
        <f aca="false">$C68+I$4*$D68-$E68</f>
        <v>85584.56</v>
      </c>
      <c r="J68" s="39" t="n">
        <f aca="false">$C68+J$4*$D68-$E68</f>
        <v>106980.7</v>
      </c>
      <c r="K68" s="39" t="n">
        <f aca="false">$C68+K$4*$D68-$E68</f>
        <v>128376.84</v>
      </c>
      <c r="L68" s="39" t="n">
        <f aca="false">$C68+L$4*$D68-$E68</f>
        <v>171169.12</v>
      </c>
      <c r="M68" s="39" t="n">
        <f aca="false">$C68+M$4*$D68-$E68</f>
        <v>213961.4</v>
      </c>
      <c r="N68" s="39" t="n">
        <f aca="false">$C68+N$4*$D68-$E68</f>
        <v>256753.68</v>
      </c>
      <c r="O68" s="39" t="n">
        <f aca="false">$C68+O$4*$D68-$E68</f>
        <v>299545.96</v>
      </c>
      <c r="P68" s="39" t="n">
        <f aca="false">$C68+P$4*$D68-$E68</f>
        <v>342338.24</v>
      </c>
      <c r="Q68" s="39" t="n">
        <f aca="false">$C68+Q$4*$D68-$E68</f>
        <v>385130.52</v>
      </c>
      <c r="R68" s="39" t="n">
        <f aca="false">$C68+R$4*$D68-$E68</f>
        <v>427922.8</v>
      </c>
    </row>
    <row r="69" customFormat="false" ht="15" hidden="false" customHeight="false" outlineLevel="0" collapsed="false">
      <c r="A69" s="12" t="s">
        <v>925</v>
      </c>
      <c r="B69" s="30" t="str">
        <f aca="false">'Análisis Pavimentadoras'!A6</f>
        <v>BOMAG | BF600 C-3</v>
      </c>
      <c r="C69" s="32" t="n">
        <f aca="false">'Análisis Pavimentadoras'!D6</f>
        <v>0</v>
      </c>
      <c r="D69" s="34" t="n">
        <f aca="false">'Análisis Pavimentadoras'!AC6</f>
        <v>24.1644</v>
      </c>
      <c r="E69" s="32" t="n">
        <f aca="false">'Análisis Pavimentadoras'!AA6</f>
        <v>0</v>
      </c>
      <c r="F69" s="39" t="n">
        <f aca="false">$C69+F$4*$D69-$E69</f>
        <v>0</v>
      </c>
      <c r="G69" s="39" t="n">
        <f aca="false">$C69+G$4*$D69-$E69</f>
        <v>24164.4</v>
      </c>
      <c r="H69" s="39" t="n">
        <f aca="false">$C69+H$4*$D69-$E69</f>
        <v>36246.6</v>
      </c>
      <c r="I69" s="39" t="n">
        <f aca="false">$C69+I$4*$D69-$E69</f>
        <v>48328.8</v>
      </c>
      <c r="J69" s="39" t="n">
        <f aca="false">$C69+J$4*$D69-$E69</f>
        <v>60411</v>
      </c>
      <c r="K69" s="39" t="n">
        <f aca="false">$C69+K$4*$D69-$E69</f>
        <v>72493.2</v>
      </c>
      <c r="L69" s="39" t="n">
        <f aca="false">$C69+L$4*$D69-$E69</f>
        <v>96657.6</v>
      </c>
      <c r="M69" s="39" t="n">
        <f aca="false">$C69+M$4*$D69-$E69</f>
        <v>120822</v>
      </c>
      <c r="N69" s="39" t="n">
        <f aca="false">$C69+N$4*$D69-$E69</f>
        <v>144986.4</v>
      </c>
      <c r="O69" s="39" t="n">
        <f aca="false">$C69+O$4*$D69-$E69</f>
        <v>169150.8</v>
      </c>
      <c r="P69" s="39" t="n">
        <f aca="false">$C69+P$4*$D69-$E69</f>
        <v>193315.2</v>
      </c>
      <c r="Q69" s="39" t="n">
        <f aca="false">$C69+Q$4*$D69-$E69</f>
        <v>217479.6</v>
      </c>
      <c r="R69" s="39" t="n">
        <f aca="false">$C69+R$4*$D69-$E69</f>
        <v>241644</v>
      </c>
    </row>
    <row r="70" customFormat="false" ht="15" hidden="false" customHeight="false" outlineLevel="0" collapsed="false">
      <c r="A70" s="12" t="s">
        <v>925</v>
      </c>
      <c r="B70" s="30" t="str">
        <f aca="false">'Análisis Pavimentadoras'!A7</f>
        <v>VÖGELE | Super 1800-3</v>
      </c>
      <c r="C70" s="32" t="n">
        <f aca="false">'Análisis Pavimentadoras'!D7</f>
        <v>0</v>
      </c>
      <c r="D70" s="34" t="n">
        <f aca="false">'Análisis Pavimentadoras'!AC7</f>
        <v>25.9</v>
      </c>
      <c r="E70" s="32" t="n">
        <f aca="false">'Análisis Pavimentadoras'!AA7</f>
        <v>0</v>
      </c>
      <c r="F70" s="39" t="n">
        <f aca="false">$C70+F$4*$D70-$E70</f>
        <v>0</v>
      </c>
      <c r="G70" s="39" t="n">
        <f aca="false">$C70+G$4*$D70-$E70</f>
        <v>25900</v>
      </c>
      <c r="H70" s="39" t="n">
        <f aca="false">$C70+H$4*$D70-$E70</f>
        <v>38850</v>
      </c>
      <c r="I70" s="39" t="n">
        <f aca="false">$C70+I$4*$D70-$E70</f>
        <v>51800</v>
      </c>
      <c r="J70" s="39" t="n">
        <f aca="false">$C70+J$4*$D70-$E70</f>
        <v>64750</v>
      </c>
      <c r="K70" s="39" t="n">
        <f aca="false">$C70+K$4*$D70-$E70</f>
        <v>77700</v>
      </c>
      <c r="L70" s="39" t="n">
        <f aca="false">$C70+L$4*$D70-$E70</f>
        <v>103600</v>
      </c>
      <c r="M70" s="39" t="n">
        <f aca="false">$C70+M$4*$D70-$E70</f>
        <v>129500</v>
      </c>
      <c r="N70" s="39" t="n">
        <f aca="false">$C70+N$4*$D70-$E70</f>
        <v>155400</v>
      </c>
      <c r="O70" s="39" t="n">
        <f aca="false">$C70+O$4*$D70-$E70</f>
        <v>181300</v>
      </c>
      <c r="P70" s="39" t="n">
        <f aca="false">$C70+P$4*$D70-$E70</f>
        <v>207200</v>
      </c>
      <c r="Q70" s="39" t="n">
        <f aca="false">$C70+Q$4*$D70-$E70</f>
        <v>233100</v>
      </c>
      <c r="R70" s="39" t="n">
        <f aca="false">$C70+R$4*$D70-$E70</f>
        <v>259000</v>
      </c>
    </row>
    <row r="71" customFormat="false" ht="15" hidden="false" customHeight="false" outlineLevel="0" collapsed="false">
      <c r="A71" s="12" t="s">
        <v>925</v>
      </c>
      <c r="B71" s="30" t="str">
        <f aca="false">'Análisis Pavimentadoras'!A8</f>
        <v>DYNAPAC | SD2500CS</v>
      </c>
      <c r="C71" s="32" t="n">
        <f aca="false">'Análisis Pavimentadoras'!D8</f>
        <v>0</v>
      </c>
      <c r="D71" s="34" t="n">
        <f aca="false">'Análisis Pavimentadoras'!AC8</f>
        <v>38.5</v>
      </c>
      <c r="E71" s="32" t="n">
        <f aca="false">'Análisis Pavimentadoras'!AA8</f>
        <v>0</v>
      </c>
      <c r="F71" s="39" t="n">
        <f aca="false">$C71+F$4*$D71-$E71</f>
        <v>0</v>
      </c>
      <c r="G71" s="39" t="n">
        <f aca="false">$C71+G$4*$D71-$E71</f>
        <v>38500</v>
      </c>
      <c r="H71" s="39" t="n">
        <f aca="false">$C71+H$4*$D71-$E71</f>
        <v>57750</v>
      </c>
      <c r="I71" s="39" t="n">
        <f aca="false">$C71+I$4*$D71-$E71</f>
        <v>77000</v>
      </c>
      <c r="J71" s="39" t="n">
        <f aca="false">$C71+J$4*$D71-$E71</f>
        <v>96250</v>
      </c>
      <c r="K71" s="39" t="n">
        <f aca="false">$C71+K$4*$D71-$E71</f>
        <v>115500</v>
      </c>
      <c r="L71" s="39" t="n">
        <f aca="false">$C71+L$4*$D71-$E71</f>
        <v>154000</v>
      </c>
      <c r="M71" s="39" t="n">
        <f aca="false">$C71+M$4*$D71-$E71</f>
        <v>192500</v>
      </c>
      <c r="N71" s="39" t="n">
        <f aca="false">$C71+N$4*$D71-$E71</f>
        <v>231000</v>
      </c>
      <c r="O71" s="39" t="n">
        <f aca="false">$C71+O$4*$D71-$E71</f>
        <v>269500</v>
      </c>
      <c r="P71" s="39" t="n">
        <f aca="false">$C71+P$4*$D71-$E71</f>
        <v>308000</v>
      </c>
      <c r="Q71" s="39" t="n">
        <f aca="false">$C71+Q$4*$D71-$E71</f>
        <v>346500</v>
      </c>
      <c r="R71" s="39" t="n">
        <f aca="false">$C71+R$4*$D71-$E71</f>
        <v>385000</v>
      </c>
    </row>
  </sheetData>
  <autoFilter ref="A4:R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5" min="2" style="0" width="30"/>
  </cols>
  <sheetData>
    <row r="1" customFormat="false" ht="17.35" hidden="false" customHeight="false" outlineLevel="0" collapsed="false">
      <c r="A1" s="1" t="s">
        <v>926</v>
      </c>
    </row>
    <row r="2" customFormat="false" ht="15" hidden="false" customHeight="false" outlineLevel="0" collapsed="false">
      <c r="A2" s="2" t="s">
        <v>927</v>
      </c>
    </row>
    <row r="4" customFormat="false" ht="30" hidden="false" customHeight="true" outlineLevel="0" collapsed="false">
      <c r="A4" s="23" t="s">
        <v>928</v>
      </c>
      <c r="B4" s="50" t="s">
        <v>929</v>
      </c>
      <c r="C4" s="50" t="s">
        <v>930</v>
      </c>
      <c r="D4" s="50" t="s">
        <v>931</v>
      </c>
      <c r="E4" s="50" t="s">
        <v>932</v>
      </c>
    </row>
    <row r="5" customFormat="false" ht="15" hidden="false" customHeight="false" outlineLevel="0" collapsed="false">
      <c r="A5" s="12" t="s">
        <v>137</v>
      </c>
      <c r="B5" s="12" t="str">
        <f aca="false">IF(B$4="","",INDEX('Análisis Compactación'!$C$5:$C$64,MATCH(B$4,'Análisis Compactación'!$A$5:$A$64,0)))</f>
        <v>BOMAG</v>
      </c>
      <c r="C5" s="12" t="str">
        <f aca="false">IF(C$4="","",INDEX('Análisis Compactación'!$C$5:$C$64,MATCH(C$4,'Análisis Compactación'!$A$5:$A$64,0)))</f>
        <v>DYNAPAC</v>
      </c>
      <c r="D5" s="12" t="str">
        <f aca="false">IF(D$4="","",INDEX('Análisis Compactación'!$C$5:$C$64,MATCH(D$4,'Análisis Compactación'!$A$5:$A$64,0)))</f>
        <v>DYNAPAC</v>
      </c>
      <c r="E5" s="12" t="str">
        <f aca="false">IF(E$4="","",INDEX('Análisis Compactación'!$C$5:$C$64,MATCH(E$4,'Análisis Compactación'!$A$5:$A$64,0)))</f>
        <v>DYNAPAC</v>
      </c>
    </row>
    <row r="6" customFormat="false" ht="15" hidden="false" customHeight="false" outlineLevel="0" collapsed="false">
      <c r="A6" s="12" t="s">
        <v>138</v>
      </c>
      <c r="B6" s="12" t="str">
        <f aca="false">IF(B$4="","",INDEX('Análisis Compactación'!$D$5:$D$64,MATCH(B$4,'Análisis Compactación'!$A$5:$A$64,0)))</f>
        <v>BW211 D-5 SL</v>
      </c>
      <c r="C6" s="12" t="str">
        <f aca="false">IF(C$4="","",INDEX('Análisis Compactación'!$D$5:$D$64,MATCH(C$4,'Análisis Compactación'!$A$5:$A$64,0)))</f>
        <v>CA25 D-Rhino</v>
      </c>
      <c r="D6" s="12" t="str">
        <f aca="false">IF(D$4="","",INDEX('Análisis Compactación'!$D$5:$D$64,MATCH(D$4,'Análisis Compactación'!$A$5:$A$64,0)))</f>
        <v>CA35 D-Rhino</v>
      </c>
      <c r="E6" s="12" t="str">
        <f aca="false">IF(E$4="","",INDEX('Análisis Compactación'!$D$5:$D$64,MATCH(E$4,'Análisis Compactación'!$A$5:$A$64,0)))</f>
        <v>CA3500D</v>
      </c>
    </row>
    <row r="7" customFormat="false" ht="15" hidden="false" customHeight="false" outlineLevel="0" collapsed="false">
      <c r="A7" s="12" t="s">
        <v>140</v>
      </c>
      <c r="B7" s="36" t="n">
        <f aca="false">IF(B$4="","",INDEX('Análisis Compactación'!$E$5:$E$64,MATCH(B$4,'Análisis Compactación'!$A$5:$A$64,0)))</f>
        <v>10630</v>
      </c>
      <c r="C7" s="36" t="n">
        <f aca="false">IF(C$4="","",INDEX('Análisis Compactación'!$E$5:$E$64,MATCH(C$4,'Análisis Compactación'!$A$5:$A$64,0)))</f>
        <v>10400</v>
      </c>
      <c r="D7" s="36" t="n">
        <f aca="false">IF(D$4="","",INDEX('Análisis Compactación'!$E$5:$E$64,MATCH(D$4,'Análisis Compactación'!$A$5:$A$64,0)))</f>
        <v>12200</v>
      </c>
      <c r="E7" s="36" t="n">
        <f aca="false">IF(E$4="","",INDEX('Análisis Compactación'!$E$5:$E$64,MATCH(E$4,'Análisis Compactación'!$A$5:$A$64,0)))</f>
        <v>16000</v>
      </c>
    </row>
    <row r="8" customFormat="false" ht="15" hidden="false" customHeight="false" outlineLevel="0" collapsed="false">
      <c r="A8" s="12" t="s">
        <v>844</v>
      </c>
      <c r="B8" s="39" t="n">
        <f aca="false">IF(B$4="","",INDEX('Análisis Compactación'!$F$5:$F$64,MATCH(B$4,'Análisis Compactación'!$A$5:$A$64,0)))</f>
        <v>57592.78</v>
      </c>
      <c r="C8" s="39" t="n">
        <f aca="false">IF(C$4="","",INDEX('Análisis Compactación'!$F$5:$F$64,MATCH(C$4,'Análisis Compactación'!$A$5:$A$64,0)))</f>
        <v>90000</v>
      </c>
      <c r="D8" s="39" t="n">
        <f aca="false">IF(D$4="","",INDEX('Análisis Compactación'!$F$5:$F$64,MATCH(D$4,'Análisis Compactación'!$A$5:$A$64,0)))</f>
        <v>90000</v>
      </c>
      <c r="E8" s="39" t="n">
        <f aca="false">IF(E$4="","",INDEX('Análisis Compactación'!$F$5:$F$64,MATCH(E$4,'Análisis Compactación'!$A$5:$A$64,0)))</f>
        <v>90000</v>
      </c>
    </row>
    <row r="9" customFormat="false" ht="15" hidden="false" customHeight="false" outlineLevel="0" collapsed="false">
      <c r="A9" s="12" t="s">
        <v>845</v>
      </c>
      <c r="B9" s="37" t="n">
        <f aca="false">IF(B$4="","",INDEX('Análisis Compactación'!$G$5:$G$64,MATCH(B$4,'Análisis Compactación'!$A$5:$A$64,0)))</f>
        <v>11.8</v>
      </c>
      <c r="C9" s="37" t="n">
        <f aca="false">IF(C$4="","",INDEX('Análisis Compactación'!$G$5:$G$64,MATCH(C$4,'Análisis Compactación'!$A$5:$A$64,0)))</f>
        <v>13.6</v>
      </c>
      <c r="D9" s="37" t="n">
        <f aca="false">IF(D$4="","",INDEX('Análisis Compactación'!$G$5:$G$64,MATCH(D$4,'Análisis Compactación'!$A$5:$A$64,0)))</f>
        <v>13.6</v>
      </c>
      <c r="E9" s="37" t="n">
        <f aca="false">IF(E$4="","",INDEX('Análisis Compactación'!$G$5:$G$64,MATCH(E$4,'Análisis Compactación'!$A$5:$A$64,0)))</f>
        <v>13.6</v>
      </c>
    </row>
    <row r="10" customFormat="false" ht="15" hidden="false" customHeight="false" outlineLevel="0" collapsed="false">
      <c r="A10" s="12" t="s">
        <v>162</v>
      </c>
      <c r="B10" s="38" t="n">
        <f aca="false">IF(B$4="","",INDEX('Análisis Compactación'!$H$5:$H$64,MATCH(B$4,'Análisis Compactación'!$A$5:$A$64,0)))</f>
        <v>1</v>
      </c>
      <c r="C10" s="38" t="n">
        <f aca="false">IF(C$4="","",INDEX('Análisis Compactación'!$H$5:$H$64,MATCH(C$4,'Análisis Compactación'!$A$5:$A$64,0)))</f>
        <v>1</v>
      </c>
      <c r="D10" s="38" t="n">
        <f aca="false">IF(D$4="","",INDEX('Análisis Compactación'!$H$5:$H$64,MATCH(D$4,'Análisis Compactación'!$A$5:$A$64,0)))</f>
        <v>1</v>
      </c>
      <c r="E10" s="38" t="n">
        <f aca="false">IF(E$4="","",INDEX('Análisis Compactación'!$H$5:$H$64,MATCH(E$4,'Análisis Compactación'!$A$5:$A$64,0)))</f>
        <v>1</v>
      </c>
    </row>
    <row r="11" customFormat="false" ht="15" hidden="false" customHeight="false" outlineLevel="0" collapsed="false">
      <c r="A11" s="12" t="s">
        <v>163</v>
      </c>
      <c r="B11" s="38" t="n">
        <f aca="false">IF(B$4="","",INDEX('Análisis Compactación'!$I$5:$I$64,MATCH(B$4,'Análisis Compactación'!$A$5:$A$64,0)))</f>
        <v>2</v>
      </c>
      <c r="C11" s="38" t="n">
        <f aca="false">IF(C$4="","",INDEX('Análisis Compactación'!$I$5:$I$64,MATCH(C$4,'Análisis Compactación'!$A$5:$A$64,0)))</f>
        <v>2</v>
      </c>
      <c r="D11" s="38" t="n">
        <f aca="false">IF(D$4="","",INDEX('Análisis Compactación'!$I$5:$I$64,MATCH(D$4,'Análisis Compactación'!$A$5:$A$64,0)))</f>
        <v>2</v>
      </c>
      <c r="E11" s="38" t="n">
        <f aca="false">IF(E$4="","",INDEX('Análisis Compactación'!$I$5:$I$64,MATCH(E$4,'Análisis Compactación'!$A$5:$A$64,0)))</f>
        <v>2</v>
      </c>
    </row>
    <row r="12" customFormat="false" ht="15" hidden="false" customHeight="false" outlineLevel="0" collapsed="false">
      <c r="A12" s="12" t="s">
        <v>847</v>
      </c>
      <c r="B12" s="12" t="str">
        <f aca="false">IF(B$4="","",INDEX('Análisis Compactación'!$K$5:$K$64,MATCH(B$4,'Análisis Compactación'!$A$5:$A$64,0)))</f>
        <v>SÍ</v>
      </c>
      <c r="C12" s="12" t="str">
        <f aca="false">IF(C$4="","",INDEX('Análisis Compactación'!$K$5:$K$64,MATCH(C$4,'Análisis Compactación'!$A$5:$A$64,0)))</f>
        <v>NO</v>
      </c>
      <c r="D12" s="12" t="str">
        <f aca="false">IF(D$4="","",INDEX('Análisis Compactación'!$K$5:$K$64,MATCH(D$4,'Análisis Compactación'!$A$5:$A$64,0)))</f>
        <v>NO</v>
      </c>
      <c r="E12" s="12" t="str">
        <f aca="false">IF(E$4="","",INDEX('Análisis Compactación'!$K$5:$K$64,MATCH(E$4,'Análisis Compactación'!$A$5:$A$64,0)))</f>
        <v>NO</v>
      </c>
    </row>
    <row r="13" customFormat="false" ht="15" hidden="false" customHeight="false" outlineLevel="0" collapsed="false">
      <c r="A13" s="12" t="s">
        <v>848</v>
      </c>
      <c r="B13" s="12" t="str">
        <f aca="false">IF(B$4="","",INDEX('Análisis Compactación'!$L$5:$L$64,MATCH(B$4,'Análisis Compactación'!$A$5:$A$64,0)))</f>
        <v>NO</v>
      </c>
      <c r="C13" s="12" t="str">
        <f aca="false">IF(C$4="","",INDEX('Análisis Compactación'!$L$5:$L$64,MATCH(C$4,'Análisis Compactación'!$A$5:$A$64,0)))</f>
        <v>N/A</v>
      </c>
      <c r="D13" s="12" t="str">
        <f aca="false">IF(D$4="","",INDEX('Análisis Compactación'!$L$5:$L$64,MATCH(D$4,'Análisis Compactación'!$A$5:$A$64,0)))</f>
        <v>N/A</v>
      </c>
      <c r="E13" s="12" t="str">
        <f aca="false">IF(E$4="","",INDEX('Análisis Compactación'!$L$5:$L$64,MATCH(E$4,'Análisis Compactación'!$A$5:$A$64,0)))</f>
        <v>N/A</v>
      </c>
    </row>
    <row r="14" customFormat="false" ht="15" hidden="false" customHeight="false" outlineLevel="0" collapsed="false">
      <c r="A14" s="12" t="s">
        <v>853</v>
      </c>
      <c r="B14" s="36" t="n">
        <f aca="false">IF(B$4="","",INDEX('Análisis Compactación'!$Q$5:$Q$64,MATCH(B$4,'Análisis Compactación'!$A$5:$A$64,0)))</f>
        <v>417</v>
      </c>
      <c r="C14" s="36" t="n">
        <f aca="false">IF(C$4="","",INDEX('Análisis Compactación'!$Q$5:$Q$64,MATCH(C$4,'Análisis Compactación'!$A$5:$A$64,0)))</f>
        <v>387</v>
      </c>
      <c r="D14" s="36" t="n">
        <f aca="false">IF(D$4="","",INDEX('Análisis Compactación'!$Q$5:$Q$64,MATCH(D$4,'Análisis Compactación'!$A$5:$A$64,0)))</f>
        <v>540</v>
      </c>
      <c r="E14" s="36" t="n">
        <f aca="false">IF(E$4="","",INDEX('Análisis Compactación'!$Q$5:$Q$64,MATCH(E$4,'Análisis Compactación'!$A$5:$A$64,0)))</f>
        <v>800</v>
      </c>
    </row>
    <row r="15" customFormat="false" ht="15" hidden="false" customHeight="false" outlineLevel="0" collapsed="false">
      <c r="A15" s="12" t="s">
        <v>854</v>
      </c>
      <c r="B15" s="36" t="n">
        <f aca="false">IF(B$4="","",INDEX('Análisis Compactación'!$R$5:$R$64,MATCH(B$4,'Análisis Compactación'!$A$5:$A$64,0)))</f>
        <v>417</v>
      </c>
      <c r="C15" s="36" t="n">
        <f aca="false">IF(C$4="","",INDEX('Análisis Compactación'!$R$5:$R$64,MATCH(C$4,'Análisis Compactación'!$A$5:$A$64,0)))</f>
        <v>387</v>
      </c>
      <c r="D15" s="36" t="n">
        <f aca="false">IF(D$4="","",INDEX('Análisis Compactación'!$R$5:$R$64,MATCH(D$4,'Análisis Compactación'!$A$5:$A$64,0)))</f>
        <v>540</v>
      </c>
      <c r="E15" s="36" t="n">
        <f aca="false">IF(E$4="","",INDEX('Análisis Compactación'!$R$5:$R$64,MATCH(E$4,'Análisis Compactación'!$A$5:$A$64,0)))</f>
        <v>800</v>
      </c>
    </row>
    <row r="16" customFormat="false" ht="15" hidden="false" customHeight="false" outlineLevel="0" collapsed="false">
      <c r="A16" s="12" t="s">
        <v>855</v>
      </c>
      <c r="B16" s="36" t="n">
        <f aca="false">IF(B$4="","",INDEX('Análisis Compactación'!$S$5:$S$64,MATCH(B$4,'Análisis Compactación'!$A$5:$A$64,0)))</f>
        <v>417</v>
      </c>
      <c r="C16" s="36" t="n">
        <f aca="false">IF(C$4="","",INDEX('Análisis Compactación'!$S$5:$S$64,MATCH(C$4,'Análisis Compactación'!$A$5:$A$64,0)))</f>
        <v>387</v>
      </c>
      <c r="D16" s="36" t="n">
        <f aca="false">IF(D$4="","",INDEX('Análisis Compactación'!$S$5:$S$64,MATCH(D$4,'Análisis Compactación'!$A$5:$A$64,0)))</f>
        <v>540</v>
      </c>
      <c r="E16" s="36" t="n">
        <f aca="false">IF(E$4="","",INDEX('Análisis Compactación'!$S$5:$S$64,MATCH(E$4,'Análisis Compactación'!$A$5:$A$64,0)))</f>
        <v>800</v>
      </c>
    </row>
    <row r="17" customFormat="false" ht="15" hidden="false" customHeight="false" outlineLevel="0" collapsed="false">
      <c r="A17" s="12" t="s">
        <v>856</v>
      </c>
      <c r="B17" s="37" t="n">
        <f aca="false">IF(B$4="","",INDEX('Análisis Compactación'!$T$5:$T$64,MATCH(B$4,'Análisis Compactación'!$A$5:$A$64,0)))</f>
        <v>0</v>
      </c>
      <c r="C17" s="37" t="n">
        <f aca="false">IF(C$4="","",INDEX('Análisis Compactación'!$T$5:$T$64,MATCH(C$4,'Análisis Compactación'!$A$5:$A$64,0)))</f>
        <v>0</v>
      </c>
      <c r="D17" s="37" t="n">
        <f aca="false">IF(D$4="","",INDEX('Análisis Compactación'!$T$5:$T$64,MATCH(D$4,'Análisis Compactación'!$A$5:$A$64,0)))</f>
        <v>0</v>
      </c>
      <c r="E17" s="37" t="n">
        <f aca="false">IF(E$4="","",INDEX('Análisis Compactación'!$T$5:$T$64,MATCH(E$4,'Análisis Compactación'!$A$5:$A$64,0)))</f>
        <v>0</v>
      </c>
    </row>
    <row r="18" customFormat="false" ht="15" hidden="false" customHeight="false" outlineLevel="0" collapsed="false">
      <c r="A18" s="12" t="s">
        <v>857</v>
      </c>
      <c r="B18" s="38" t="n">
        <f aca="false">IF(B$4="","",INDEX('Análisis Compactación'!$U$5:$U$64,MATCH(B$4,'Análisis Compactación'!$A$5:$A$64,0)))</f>
        <v>17.16</v>
      </c>
      <c r="C18" s="38" t="n">
        <f aca="false">IF(C$4="","",INDEX('Análisis Compactación'!$U$5:$U$64,MATCH(C$4,'Análisis Compactación'!$A$5:$A$64,0)))</f>
        <v>19.32</v>
      </c>
      <c r="D18" s="38" t="n">
        <f aca="false">IF(D$4="","",INDEX('Análisis Compactación'!$U$5:$U$64,MATCH(D$4,'Análisis Compactación'!$A$5:$A$64,0)))</f>
        <v>19.32</v>
      </c>
      <c r="E18" s="38" t="n">
        <f aca="false">IF(E$4="","",INDEX('Análisis Compactación'!$U$5:$U$64,MATCH(E$4,'Análisis Compactación'!$A$5:$A$64,0)))</f>
        <v>19.32</v>
      </c>
    </row>
    <row r="19" customFormat="false" ht="15" hidden="false" customHeight="false" outlineLevel="0" collapsed="false">
      <c r="A19" s="12" t="s">
        <v>858</v>
      </c>
      <c r="B19" s="39" t="n">
        <f aca="false">IF(B$4="","",INDEX('Análisis Compactación'!$V$5:$V$64,MATCH(B$4,'Análisis Compactación'!$A$5:$A$64,0)))</f>
        <v>0</v>
      </c>
      <c r="C19" s="39" t="n">
        <f aca="false">IF(C$4="","",INDEX('Análisis Compactación'!$V$5:$V$64,MATCH(C$4,'Análisis Compactación'!$A$5:$A$64,0)))</f>
        <v>0</v>
      </c>
      <c r="D19" s="39" t="n">
        <f aca="false">IF(D$4="","",INDEX('Análisis Compactación'!$V$5:$V$64,MATCH(D$4,'Análisis Compactación'!$A$5:$A$64,0)))</f>
        <v>0</v>
      </c>
      <c r="E19" s="39" t="n">
        <f aca="false">IF(E$4="","",INDEX('Análisis Compactación'!$V$5:$V$64,MATCH(E$4,'Análisis Compactación'!$A$5:$A$64,0)))</f>
        <v>0</v>
      </c>
    </row>
    <row r="20" customFormat="false" ht="15" hidden="false" customHeight="false" outlineLevel="0" collapsed="false">
      <c r="A20" s="12" t="s">
        <v>859</v>
      </c>
      <c r="B20" s="39" t="n">
        <f aca="false">IF(B$4="","",INDEX('Análisis Compactación'!$W$5:$W$64,MATCH(B$4,'Análisis Compactación'!$A$5:$A$64,0)))</f>
        <v>42480</v>
      </c>
      <c r="C20" s="39" t="n">
        <f aca="false">IF(C$4="","",INDEX('Análisis Compactación'!$W$5:$W$64,MATCH(C$4,'Análisis Compactación'!$A$5:$A$64,0)))</f>
        <v>48960</v>
      </c>
      <c r="D20" s="39" t="n">
        <f aca="false">IF(D$4="","",INDEX('Análisis Compactación'!$W$5:$W$64,MATCH(D$4,'Análisis Compactación'!$A$5:$A$64,0)))</f>
        <v>48960</v>
      </c>
      <c r="E20" s="39" t="n">
        <f aca="false">IF(E$4="","",INDEX('Análisis Compactación'!$W$5:$W$64,MATCH(E$4,'Análisis Compactación'!$A$5:$A$64,0)))</f>
        <v>48960</v>
      </c>
    </row>
    <row r="21" customFormat="false" ht="15" hidden="false" customHeight="false" outlineLevel="0" collapsed="false">
      <c r="A21" s="12" t="s">
        <v>860</v>
      </c>
      <c r="B21" s="39" t="n">
        <f aca="false">IF(B$4="","",INDEX('Análisis Compactación'!$X$5:$X$64,MATCH(B$4,'Análisis Compactación'!$A$5:$A$64,0)))</f>
        <v>9000</v>
      </c>
      <c r="C21" s="39" t="n">
        <f aca="false">IF(C$4="","",INDEX('Análisis Compactación'!$X$5:$X$64,MATCH(C$4,'Análisis Compactación'!$A$5:$A$64,0)))</f>
        <v>9000</v>
      </c>
      <c r="D21" s="39" t="n">
        <f aca="false">IF(D$4="","",INDEX('Análisis Compactación'!$X$5:$X$64,MATCH(D$4,'Análisis Compactación'!$A$5:$A$64,0)))</f>
        <v>9000</v>
      </c>
      <c r="E21" s="39" t="n">
        <f aca="false">IF(E$4="","",INDEX('Análisis Compactación'!$X$5:$X$64,MATCH(E$4,'Análisis Compactación'!$A$5:$A$64,0)))</f>
        <v>9000</v>
      </c>
    </row>
    <row r="22" customFormat="false" ht="15" hidden="false" customHeight="false" outlineLevel="0" collapsed="false">
      <c r="A22" s="12" t="s">
        <v>862</v>
      </c>
      <c r="B22" s="39" t="n">
        <f aca="false">IF(B$4="","",INDEX('Análisis Compactación'!$Z$5:$Z$64,MATCH(B$4,'Análisis Compactación'!$A$5:$A$64,0)))</f>
        <v>0</v>
      </c>
      <c r="C22" s="39" t="n">
        <f aca="false">IF(C$4="","",INDEX('Análisis Compactación'!$Z$5:$Z$64,MATCH(C$4,'Análisis Compactación'!$A$5:$A$64,0)))</f>
        <v>5550</v>
      </c>
      <c r="D22" s="39" t="n">
        <f aca="false">IF(D$4="","",INDEX('Análisis Compactación'!$Z$5:$Z$64,MATCH(D$4,'Análisis Compactación'!$A$5:$A$64,0)))</f>
        <v>5550</v>
      </c>
      <c r="E22" s="39" t="n">
        <f aca="false">IF(E$4="","",INDEX('Análisis Compactación'!$Z$5:$Z$64,MATCH(E$4,'Análisis Compactación'!$A$5:$A$64,0)))</f>
        <v>5550</v>
      </c>
    </row>
    <row r="23" customFormat="false" ht="15" hidden="false" customHeight="false" outlineLevel="0" collapsed="false">
      <c r="A23" s="12" t="s">
        <v>846</v>
      </c>
      <c r="B23" s="39" t="n">
        <f aca="false">IF(B$4="","",INDEX('Análisis Compactación'!$J$5:$J$64,MATCH(B$4,'Análisis Compactación'!$A$5:$A$64,0)))</f>
        <v>0</v>
      </c>
      <c r="C23" s="39" t="n">
        <f aca="false">IF(C$4="","",INDEX('Análisis Compactación'!$J$5:$J$64,MATCH(C$4,'Análisis Compactación'!$A$5:$A$64,0)))</f>
        <v>0</v>
      </c>
      <c r="D23" s="39" t="n">
        <f aca="false">IF(D$4="","",INDEX('Análisis Compactación'!$J$5:$J$64,MATCH(D$4,'Análisis Compactación'!$A$5:$A$64,0)))</f>
        <v>0</v>
      </c>
      <c r="E23" s="39" t="n">
        <f aca="false">IF(E$4="","",INDEX('Análisis Compactación'!$J$5:$J$64,MATCH(E$4,'Análisis Compactación'!$A$5:$A$64,0)))</f>
        <v>0</v>
      </c>
    </row>
    <row r="24" customFormat="false" ht="15" hidden="false" customHeight="false" outlineLevel="0" collapsed="false">
      <c r="A24" s="23" t="s">
        <v>863</v>
      </c>
      <c r="B24" s="40" t="n">
        <f aca="false">IF(B$4="","",INDEX('Análisis Compactación'!$AA$5:$AA$64,MATCH(B$4,'Análisis Compactación'!$A$5:$A$64,0)))</f>
        <v>109072.78</v>
      </c>
      <c r="C24" s="40" t="n">
        <f aca="false">IF(C$4="","",INDEX('Análisis Compactación'!$AA$5:$AA$64,MATCH(C$4,'Análisis Compactación'!$A$5:$A$64,0)))</f>
        <v>153510</v>
      </c>
      <c r="D24" s="40" t="n">
        <f aca="false">IF(D$4="","",INDEX('Análisis Compactación'!$AA$5:$AA$64,MATCH(D$4,'Análisis Compactación'!$A$5:$A$64,0)))</f>
        <v>153510</v>
      </c>
      <c r="E24" s="40" t="n">
        <f aca="false">IF(E$4="","",INDEX('Análisis Compactación'!$AA$5:$AA$64,MATCH(E$4,'Análisis Compactación'!$A$5:$A$64,0)))</f>
        <v>153510</v>
      </c>
    </row>
    <row r="25" customFormat="false" ht="15" hidden="false" customHeight="false" outlineLevel="0" collapsed="false">
      <c r="A25" s="23" t="s">
        <v>865</v>
      </c>
      <c r="B25" s="51" t="n">
        <f aca="false">IF(B$4="","",INDEX('Análisis Compactación'!$AC$5:$AC$64,MATCH(B$4,'Análisis Compactación'!$A$5:$A$64,0)))</f>
        <v>36.3575933333333</v>
      </c>
      <c r="C25" s="51" t="n">
        <f aca="false">IF(C$4="","",INDEX('Análisis Compactación'!$AC$5:$AC$64,MATCH(C$4,'Análisis Compactación'!$A$5:$A$64,0)))</f>
        <v>51.17</v>
      </c>
      <c r="D25" s="51" t="n">
        <f aca="false">IF(D$4="","",INDEX('Análisis Compactación'!$AC$5:$AC$64,MATCH(D$4,'Análisis Compactación'!$A$5:$A$64,0)))</f>
        <v>51.17</v>
      </c>
      <c r="E25" s="51" t="n">
        <f aca="false">IF(E$4="","",INDEX('Análisis Compactación'!$AC$5:$AC$64,MATCH(E$4,'Análisis Compactación'!$A$5:$A$64,0)))</f>
        <v>51.17</v>
      </c>
    </row>
    <row r="26" customFormat="false" ht="15" hidden="false" customHeight="false" outlineLevel="0" collapsed="false">
      <c r="A26" s="23" t="s">
        <v>866</v>
      </c>
      <c r="B26" s="52" t="n">
        <f aca="false">IF(B$4="","",INDEX('Análisis Compactación'!$AD$5:$AD$64,MATCH(B$4,'Análisis Compactación'!$A$5:$A$64,0)))</f>
        <v>109072.78</v>
      </c>
      <c r="C26" s="52" t="n">
        <f aca="false">IF(C$4="","",INDEX('Análisis Compactación'!$AD$5:$AD$64,MATCH(C$4,'Análisis Compactación'!$A$5:$A$64,0)))</f>
        <v>153510</v>
      </c>
      <c r="D26" s="52" t="n">
        <f aca="false">IF(D$4="","",INDEX('Análisis Compactación'!$AD$5:$AD$64,MATCH(D$4,'Análisis Compactación'!$A$5:$A$64,0)))</f>
        <v>153510</v>
      </c>
      <c r="E26" s="52" t="n">
        <f aca="false">IF(E$4="","",INDEX('Análisis Compactación'!$AD$5:$AD$64,MATCH(E$4,'Análisis Compactación'!$A$5:$A$64,0)))</f>
        <v>153510</v>
      </c>
    </row>
    <row r="27" customFormat="false" ht="15" hidden="false" customHeight="false" outlineLevel="0" collapsed="false">
      <c r="A27" s="23" t="s">
        <v>933</v>
      </c>
      <c r="B27" s="40" t="n">
        <f aca="false">IF(B$4="","",B24-$B24)</f>
        <v>0</v>
      </c>
      <c r="C27" s="40" t="n">
        <f aca="false">IF(C$4="","",C24-$B24)</f>
        <v>44437.22</v>
      </c>
      <c r="D27" s="40" t="n">
        <f aca="false">IF(D$4="","",D24-$B24)</f>
        <v>44437.22</v>
      </c>
      <c r="E27" s="40" t="n">
        <f aca="false">IF(E$4="","",E24-$B24)</f>
        <v>44437.22</v>
      </c>
    </row>
    <row r="28" customFormat="false" ht="15" hidden="false" customHeight="false" outlineLevel="0" collapsed="false">
      <c r="A28" s="53" t="s">
        <v>934</v>
      </c>
    </row>
  </sheetData>
  <dataValidations count="1">
    <dataValidation allowBlank="false" errorStyle="stop" operator="between" showDropDown="false" showErrorMessage="false" showInputMessage="false" sqref="B4:E4" type="list">
      <formula1>'Análisis Compactación'!$A$5:$A$64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14" min="2" style="0" width="12"/>
  </cols>
  <sheetData>
    <row r="1" customFormat="false" ht="17.35" hidden="false" customHeight="false" outlineLevel="0" collapsed="false">
      <c r="A1" s="1" t="s">
        <v>935</v>
      </c>
    </row>
    <row r="3" customFormat="false" ht="15" hidden="false" customHeight="false" outlineLevel="0" collapsed="false">
      <c r="A3" s="3" t="s">
        <v>936</v>
      </c>
    </row>
    <row r="4" customFormat="false" ht="26.85" hidden="false" customHeight="false" outlineLevel="0" collapsed="false">
      <c r="A4" s="48" t="s">
        <v>937</v>
      </c>
      <c r="B4" s="48" t="s">
        <v>938</v>
      </c>
      <c r="C4" s="48" t="s">
        <v>939</v>
      </c>
      <c r="D4" s="48" t="s">
        <v>940</v>
      </c>
      <c r="E4" s="48" t="s">
        <v>941</v>
      </c>
      <c r="F4" s="48" t="s">
        <v>942</v>
      </c>
      <c r="G4" s="48" t="s">
        <v>943</v>
      </c>
      <c r="H4" s="48" t="s">
        <v>944</v>
      </c>
      <c r="I4" s="48" t="s">
        <v>945</v>
      </c>
      <c r="J4" s="48" t="s">
        <v>946</v>
      </c>
      <c r="K4" s="48" t="s">
        <v>947</v>
      </c>
      <c r="L4" s="48" t="s">
        <v>948</v>
      </c>
      <c r="M4" s="48" t="s">
        <v>949</v>
      </c>
      <c r="N4" s="48" t="s">
        <v>950</v>
      </c>
    </row>
    <row r="5" customFormat="false" ht="15" hidden="false" customHeight="false" outlineLevel="0" collapsed="false">
      <c r="A5" s="35" t="n">
        <v>2</v>
      </c>
      <c r="B5" s="35" t="n">
        <v>3</v>
      </c>
      <c r="C5" s="35"/>
      <c r="D5" s="35"/>
      <c r="E5" s="35" t="n">
        <v>60</v>
      </c>
      <c r="F5" s="35" t="n">
        <v>180</v>
      </c>
      <c r="G5" s="35" t="n">
        <v>60</v>
      </c>
      <c r="H5" s="35" t="n">
        <v>180</v>
      </c>
      <c r="I5" s="35" t="n">
        <v>40</v>
      </c>
      <c r="J5" s="35" t="n">
        <v>100</v>
      </c>
      <c r="K5" s="36" t="str">
        <f aca="false">IF(COUNT(C5:D5)=2,AVERAGE(C5:D5),"-")</f>
        <v>-</v>
      </c>
      <c r="L5" s="36" t="n">
        <f aca="false">IF(COUNT(E5:F5)=2,AVERAGE(E5:F5),"-")</f>
        <v>120</v>
      </c>
      <c r="M5" s="36" t="n">
        <f aca="false">IF(COUNT(G5:H5)=2,AVERAGE(G5:H5),"-")</f>
        <v>120</v>
      </c>
      <c r="N5" s="36" t="n">
        <f aca="false">IF(COUNT(I5:J5)=2,AVERAGE(I5:J5),"-")</f>
        <v>70</v>
      </c>
    </row>
    <row r="6" customFormat="false" ht="15" hidden="false" customHeight="false" outlineLevel="0" collapsed="false">
      <c r="A6" s="35" t="n">
        <v>6</v>
      </c>
      <c r="B6" s="35" t="n">
        <v>8</v>
      </c>
      <c r="C6" s="35" t="n">
        <v>200</v>
      </c>
      <c r="D6" s="35" t="n">
        <v>500</v>
      </c>
      <c r="E6" s="35" t="n">
        <v>100</v>
      </c>
      <c r="F6" s="35" t="n">
        <v>400</v>
      </c>
      <c r="G6" s="35" t="n">
        <v>100</v>
      </c>
      <c r="H6" s="35" t="n">
        <v>350</v>
      </c>
      <c r="I6" s="35" t="n">
        <v>70</v>
      </c>
      <c r="J6" s="35" t="n">
        <v>200</v>
      </c>
      <c r="K6" s="36" t="n">
        <f aca="false">IF(COUNT(C6:D6)=2,AVERAGE(C6:D6),"-")</f>
        <v>350</v>
      </c>
      <c r="L6" s="36" t="n">
        <f aca="false">IF(COUNT(E6:F6)=2,AVERAGE(E6:F6),"-")</f>
        <v>250</v>
      </c>
      <c r="M6" s="36" t="n">
        <f aca="false">IF(COUNT(G6:H6)=2,AVERAGE(G6:H6),"-")</f>
        <v>225</v>
      </c>
      <c r="N6" s="36" t="n">
        <f aca="false">IF(COUNT(I6:J6)=2,AVERAGE(I6:J6),"-")</f>
        <v>135</v>
      </c>
    </row>
    <row r="7" customFormat="false" ht="15" hidden="false" customHeight="false" outlineLevel="0" collapsed="false">
      <c r="A7" s="35" t="n">
        <v>9</v>
      </c>
      <c r="B7" s="35" t="n">
        <v>12</v>
      </c>
      <c r="C7" s="35" t="n">
        <v>400</v>
      </c>
      <c r="D7" s="35" t="n">
        <v>900</v>
      </c>
      <c r="E7" s="35" t="n">
        <v>200</v>
      </c>
      <c r="F7" s="35" t="n">
        <v>700</v>
      </c>
      <c r="G7" s="35" t="n">
        <v>200</v>
      </c>
      <c r="H7" s="35" t="n">
        <v>600</v>
      </c>
      <c r="I7" s="35" t="n">
        <v>100</v>
      </c>
      <c r="J7" s="35" t="n">
        <v>300</v>
      </c>
      <c r="K7" s="36" t="n">
        <f aca="false">IF(COUNT(C7:D7)=2,AVERAGE(C7:D7),"-")</f>
        <v>650</v>
      </c>
      <c r="L7" s="36" t="n">
        <f aca="false">IF(COUNT(E7:F7)=2,AVERAGE(E7:F7),"-")</f>
        <v>450</v>
      </c>
      <c r="M7" s="36" t="n">
        <f aca="false">IF(COUNT(G7:H7)=2,AVERAGE(G7:H7),"-")</f>
        <v>400</v>
      </c>
      <c r="N7" s="36" t="n">
        <f aca="false">IF(COUNT(I7:J7)=2,AVERAGE(I7:J7),"-")</f>
        <v>200</v>
      </c>
    </row>
    <row r="8" customFormat="false" ht="15" hidden="false" customHeight="false" outlineLevel="0" collapsed="false">
      <c r="A8" s="35" t="n">
        <v>13</v>
      </c>
      <c r="B8" s="35" t="n">
        <v>16</v>
      </c>
      <c r="C8" s="35" t="n">
        <v>500</v>
      </c>
      <c r="D8" s="35" t="n">
        <v>1400</v>
      </c>
      <c r="E8" s="35" t="n">
        <v>350</v>
      </c>
      <c r="F8" s="35" t="n">
        <v>1000</v>
      </c>
      <c r="G8" s="35" t="n">
        <v>300</v>
      </c>
      <c r="H8" s="35" t="n">
        <v>800</v>
      </c>
      <c r="I8" s="35" t="n">
        <v>150</v>
      </c>
      <c r="J8" s="35" t="n">
        <v>400</v>
      </c>
      <c r="K8" s="36" t="n">
        <f aca="false">IF(COUNT(C8:D8)=2,AVERAGE(C8:D8),"-")</f>
        <v>950</v>
      </c>
      <c r="L8" s="36" t="n">
        <f aca="false">IF(COUNT(E8:F8)=2,AVERAGE(E8:F8),"-")</f>
        <v>675</v>
      </c>
      <c r="M8" s="36" t="n">
        <f aca="false">IF(COUNT(G8:H8)=2,AVERAGE(G8:H8),"-")</f>
        <v>550</v>
      </c>
      <c r="N8" s="36" t="n">
        <f aca="false">IF(COUNT(I8:J8)=2,AVERAGE(I8:J8),"-")</f>
        <v>275</v>
      </c>
    </row>
    <row r="9" customFormat="false" ht="15" hidden="false" customHeight="false" outlineLevel="0" collapsed="false">
      <c r="A9" s="35" t="n">
        <v>19</v>
      </c>
      <c r="B9" s="35" t="n">
        <v>25</v>
      </c>
      <c r="C9" s="35" t="n">
        <v>900</v>
      </c>
      <c r="D9" s="35" t="n">
        <v>2200</v>
      </c>
      <c r="E9" s="35" t="n">
        <v>500</v>
      </c>
      <c r="F9" s="35" t="n">
        <v>1600</v>
      </c>
      <c r="G9" s="35" t="n">
        <v>500</v>
      </c>
      <c r="H9" s="35" t="n">
        <v>1200</v>
      </c>
      <c r="I9" s="35" t="n">
        <v>300</v>
      </c>
      <c r="J9" s="35" t="n">
        <v>500</v>
      </c>
      <c r="K9" s="36" t="n">
        <f aca="false">IF(COUNT(C9:D9)=2,AVERAGE(C9:D9),"-")</f>
        <v>1550</v>
      </c>
      <c r="L9" s="36" t="n">
        <f aca="false">IF(COUNT(E9:F9)=2,AVERAGE(E9:F9),"-")</f>
        <v>1050</v>
      </c>
      <c r="M9" s="36" t="n">
        <f aca="false">IF(COUNT(G9:H9)=2,AVERAGE(G9:H9),"-")</f>
        <v>850</v>
      </c>
      <c r="N9" s="36" t="n">
        <f aca="false">IF(COUNT(I9:J9)=2,AVERAGE(I9:J9),"-")</f>
        <v>400</v>
      </c>
    </row>
    <row r="11" customFormat="false" ht="15" hidden="false" customHeight="false" outlineLevel="0" collapsed="false">
      <c r="A11" s="2" t="s">
        <v>951</v>
      </c>
    </row>
    <row r="13" customFormat="false" ht="15" hidden="false" customHeight="false" outlineLevel="0" collapsed="false">
      <c r="A13" s="3" t="s">
        <v>952</v>
      </c>
    </row>
    <row r="14" customFormat="false" ht="15" hidden="false" customHeight="false" outlineLevel="0" collapsed="false">
      <c r="A14" s="54" t="s">
        <v>953</v>
      </c>
      <c r="B14" s="54" t="s">
        <v>954</v>
      </c>
      <c r="C14" s="54" t="s">
        <v>955</v>
      </c>
      <c r="D14" s="54" t="s">
        <v>69</v>
      </c>
      <c r="E14" s="54" t="s">
        <v>956</v>
      </c>
    </row>
    <row r="15" customFormat="false" ht="15" hidden="false" customHeight="false" outlineLevel="0" collapsed="false">
      <c r="A15" s="26" t="s">
        <v>957</v>
      </c>
      <c r="B15" s="26" t="s">
        <v>206</v>
      </c>
      <c r="C15" s="26" t="s">
        <v>958</v>
      </c>
      <c r="D15" s="26" t="s">
        <v>959</v>
      </c>
      <c r="E15" s="26" t="s">
        <v>960</v>
      </c>
    </row>
    <row r="16" customFormat="false" ht="15" hidden="false" customHeight="false" outlineLevel="0" collapsed="false">
      <c r="A16" s="26" t="s">
        <v>961</v>
      </c>
      <c r="B16" s="26" t="s">
        <v>962</v>
      </c>
      <c r="C16" s="26" t="s">
        <v>963</v>
      </c>
      <c r="D16" s="26" t="s">
        <v>964</v>
      </c>
      <c r="E16" s="26" t="s">
        <v>960</v>
      </c>
    </row>
    <row r="17" customFormat="false" ht="15" hidden="false" customHeight="false" outlineLevel="0" collapsed="false">
      <c r="A17" s="26" t="s">
        <v>965</v>
      </c>
      <c r="B17" s="26" t="s">
        <v>966</v>
      </c>
      <c r="C17" s="26" t="s">
        <v>966</v>
      </c>
      <c r="D17" s="26" t="s">
        <v>967</v>
      </c>
      <c r="E17" s="26" t="s">
        <v>959</v>
      </c>
    </row>
    <row r="18" customFormat="false" ht="15" hidden="false" customHeight="false" outlineLevel="0" collapsed="false">
      <c r="A18" s="26" t="s">
        <v>968</v>
      </c>
      <c r="B18" s="26" t="s">
        <v>969</v>
      </c>
      <c r="C18" s="26" t="s">
        <v>969</v>
      </c>
      <c r="D18" s="26" t="s">
        <v>966</v>
      </c>
      <c r="E18" s="26" t="s">
        <v>958</v>
      </c>
    </row>
    <row r="19" customFormat="false" ht="15" hidden="false" customHeight="false" outlineLevel="0" collapsed="false">
      <c r="A19" s="26" t="s">
        <v>970</v>
      </c>
      <c r="B19" s="26" t="s">
        <v>971</v>
      </c>
      <c r="C19" s="26" t="s">
        <v>972</v>
      </c>
      <c r="D19" s="26" t="s">
        <v>973</v>
      </c>
      <c r="E19" s="26" t="s">
        <v>962</v>
      </c>
    </row>
    <row r="21" customFormat="false" ht="15" hidden="false" customHeight="false" outlineLevel="0" collapsed="false">
      <c r="A21" s="3" t="s">
        <v>974</v>
      </c>
    </row>
    <row r="22" customFormat="false" ht="15" hidden="false" customHeight="false" outlineLevel="0" collapsed="false">
      <c r="A22" s="54" t="s">
        <v>953</v>
      </c>
      <c r="B22" s="54" t="s">
        <v>954</v>
      </c>
      <c r="C22" s="54" t="s">
        <v>955</v>
      </c>
      <c r="D22" s="54" t="s">
        <v>69</v>
      </c>
      <c r="E22" s="54" t="s">
        <v>956</v>
      </c>
    </row>
    <row r="23" customFormat="false" ht="15" hidden="false" customHeight="false" outlineLevel="0" collapsed="false">
      <c r="A23" s="26" t="s">
        <v>975</v>
      </c>
      <c r="B23" s="26" t="s">
        <v>976</v>
      </c>
      <c r="C23" s="26" t="s">
        <v>977</v>
      </c>
      <c r="D23" s="26" t="s">
        <v>978</v>
      </c>
      <c r="E23" s="26" t="s">
        <v>979</v>
      </c>
    </row>
    <row r="24" customFormat="false" ht="15" hidden="false" customHeight="false" outlineLevel="0" collapsed="false">
      <c r="A24" s="26" t="s">
        <v>980</v>
      </c>
      <c r="B24" s="26" t="s">
        <v>978</v>
      </c>
      <c r="C24" s="26" t="s">
        <v>981</v>
      </c>
      <c r="D24" s="26" t="s">
        <v>982</v>
      </c>
      <c r="E24" s="26" t="s">
        <v>983</v>
      </c>
    </row>
    <row r="25" customFormat="false" ht="15" hidden="false" customHeight="false" outlineLevel="0" collapsed="false">
      <c r="A25" s="26" t="s">
        <v>984</v>
      </c>
      <c r="B25" s="26" t="s">
        <v>985</v>
      </c>
      <c r="C25" s="26" t="s">
        <v>986</v>
      </c>
      <c r="D25" s="26" t="s">
        <v>987</v>
      </c>
      <c r="E25" s="26" t="s">
        <v>988</v>
      </c>
    </row>
    <row r="26" customFormat="false" ht="15" hidden="false" customHeight="false" outlineLevel="0" collapsed="false">
      <c r="A26" s="26" t="s">
        <v>989</v>
      </c>
      <c r="B26" s="26" t="s">
        <v>990</v>
      </c>
      <c r="C26" s="26" t="s">
        <v>991</v>
      </c>
      <c r="D26" s="26" t="s">
        <v>992</v>
      </c>
      <c r="E26" s="26" t="s">
        <v>993</v>
      </c>
    </row>
    <row r="27" customFormat="false" ht="15" hidden="false" customHeight="false" outlineLevel="0" collapsed="false">
      <c r="A27" s="26" t="s">
        <v>957</v>
      </c>
      <c r="B27" s="26" t="s">
        <v>206</v>
      </c>
      <c r="C27" s="26" t="s">
        <v>994</v>
      </c>
      <c r="D27" s="26" t="s">
        <v>994</v>
      </c>
      <c r="E27" s="26" t="s">
        <v>995</v>
      </c>
    </row>
    <row r="28" customFormat="false" ht="15" hidden="false" customHeight="false" outlineLevel="0" collapsed="false">
      <c r="A28" s="26" t="s">
        <v>961</v>
      </c>
      <c r="B28" s="26" t="s">
        <v>991</v>
      </c>
      <c r="C28" s="26" t="s">
        <v>996</v>
      </c>
      <c r="D28" s="26" t="s">
        <v>997</v>
      </c>
      <c r="E28" s="26" t="s">
        <v>981</v>
      </c>
    </row>
    <row r="29" customFormat="false" ht="15" hidden="false" customHeight="false" outlineLevel="0" collapsed="false">
      <c r="A29" s="26" t="s">
        <v>965</v>
      </c>
      <c r="B29" s="26" t="s">
        <v>998</v>
      </c>
      <c r="C29" s="26" t="s">
        <v>999</v>
      </c>
      <c r="D29" s="26" t="s">
        <v>1000</v>
      </c>
      <c r="E29" s="26" t="s">
        <v>1001</v>
      </c>
    </row>
    <row r="30" customFormat="false" ht="15" hidden="false" customHeight="false" outlineLevel="0" collapsed="false">
      <c r="A30" s="26" t="s">
        <v>968</v>
      </c>
      <c r="B30" s="26" t="s">
        <v>1002</v>
      </c>
      <c r="C30" s="26" t="s">
        <v>1003</v>
      </c>
      <c r="D30" s="26" t="s">
        <v>1004</v>
      </c>
      <c r="E30" s="26" t="s">
        <v>1005</v>
      </c>
    </row>
    <row r="31" customFormat="false" ht="15" hidden="false" customHeight="false" outlineLevel="0" collapsed="false">
      <c r="A31" s="26" t="s">
        <v>970</v>
      </c>
      <c r="B31" s="26" t="s">
        <v>1006</v>
      </c>
      <c r="C31" s="26" t="s">
        <v>1007</v>
      </c>
      <c r="D31" s="26" t="s">
        <v>1008</v>
      </c>
      <c r="E31" s="26" t="s">
        <v>1009</v>
      </c>
    </row>
    <row r="32" customFormat="false" ht="15" hidden="false" customHeight="false" outlineLevel="0" collapsed="false">
      <c r="A32" s="26" t="s">
        <v>1010</v>
      </c>
      <c r="B32" s="26" t="s">
        <v>1011</v>
      </c>
      <c r="C32" s="26" t="s">
        <v>1012</v>
      </c>
      <c r="D32" s="26" t="s">
        <v>1013</v>
      </c>
      <c r="E32" s="26" t="s">
        <v>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9"/>
    <col collapsed="false" customWidth="true" hidden="false" outlineLevel="0" max="4" min="4" style="0" width="10"/>
    <col collapsed="false" customWidth="true" hidden="false" outlineLevel="0" max="5" min="5" style="0" width="30"/>
    <col collapsed="false" customWidth="true" hidden="false" outlineLevel="0" max="7" min="6" style="0" width="12"/>
    <col collapsed="false" customWidth="true" hidden="false" outlineLevel="0" max="8" min="8" style="0" width="10"/>
    <col collapsed="false" customWidth="true" hidden="false" outlineLevel="0" max="9" min="9" style="0" width="8"/>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3" min="13" style="0" width="14"/>
  </cols>
  <sheetData>
    <row r="1" customFormat="false" ht="17.35" hidden="false" customHeight="false" outlineLevel="0" collapsed="false">
      <c r="A1" s="1" t="s">
        <v>1014</v>
      </c>
    </row>
    <row r="3" customFormat="false" ht="45" hidden="false" customHeight="true" outlineLevel="0" collapsed="false">
      <c r="A3" s="9" t="s">
        <v>1015</v>
      </c>
      <c r="B3" s="9" t="s">
        <v>40</v>
      </c>
      <c r="C3" s="9" t="s">
        <v>1016</v>
      </c>
      <c r="D3" s="9" t="s">
        <v>1017</v>
      </c>
      <c r="E3" s="9" t="s">
        <v>1018</v>
      </c>
      <c r="F3" s="9" t="s">
        <v>1019</v>
      </c>
      <c r="G3" s="9" t="s">
        <v>1020</v>
      </c>
      <c r="H3" s="9" t="s">
        <v>1021</v>
      </c>
      <c r="I3" s="9" t="s">
        <v>58</v>
      </c>
      <c r="J3" s="9" t="s">
        <v>1022</v>
      </c>
      <c r="K3" s="9" t="s">
        <v>1023</v>
      </c>
      <c r="L3" s="9" t="s">
        <v>1024</v>
      </c>
      <c r="M3" s="9" t="s">
        <v>1025</v>
      </c>
    </row>
    <row r="4" customFormat="false" ht="15" hidden="false" customHeight="false" outlineLevel="0" collapsed="false">
      <c r="A4" s="26" t="s">
        <v>1026</v>
      </c>
      <c r="B4" s="26" t="s">
        <v>1027</v>
      </c>
      <c r="C4" s="26" t="s">
        <v>1028</v>
      </c>
      <c r="D4" s="35" t="n">
        <v>250</v>
      </c>
      <c r="E4" s="26" t="s">
        <v>1029</v>
      </c>
      <c r="F4" s="26" t="s">
        <v>1030</v>
      </c>
      <c r="G4" s="26" t="s">
        <v>1031</v>
      </c>
      <c r="H4" s="55" t="n">
        <v>16</v>
      </c>
      <c r="I4" s="26" t="s">
        <v>1032</v>
      </c>
      <c r="J4" s="45" t="n">
        <v>80</v>
      </c>
      <c r="K4" s="38" t="n">
        <f aca="false">H4*J4</f>
        <v>1280</v>
      </c>
      <c r="L4" s="36" t="n">
        <f aca="false">INT(HorasOperacion/D4)</f>
        <v>12</v>
      </c>
      <c r="M4" s="39" t="n">
        <f aca="false">K4*L4</f>
        <v>15360</v>
      </c>
    </row>
    <row r="5" customFormat="false" ht="15" hidden="false" customHeight="false" outlineLevel="0" collapsed="false">
      <c r="A5" s="26" t="s">
        <v>1026</v>
      </c>
      <c r="B5" s="26" t="s">
        <v>1033</v>
      </c>
      <c r="C5" s="26" t="s">
        <v>1028</v>
      </c>
      <c r="D5" s="35" t="n">
        <v>250</v>
      </c>
      <c r="E5" s="26" t="s">
        <v>1034</v>
      </c>
      <c r="F5" s="26" t="s">
        <v>1035</v>
      </c>
      <c r="G5" s="26" t="s">
        <v>1036</v>
      </c>
      <c r="H5" s="55" t="n">
        <v>1</v>
      </c>
      <c r="I5" s="26" t="s">
        <v>1037</v>
      </c>
      <c r="J5" s="45" t="n">
        <v>120</v>
      </c>
      <c r="K5" s="38" t="n">
        <f aca="false">H5*J5</f>
        <v>120</v>
      </c>
      <c r="L5" s="36" t="n">
        <f aca="false">INT(HorasOperacion/D5)</f>
        <v>12</v>
      </c>
      <c r="M5" s="39" t="n">
        <f aca="false">K5*L5</f>
        <v>1440</v>
      </c>
    </row>
    <row r="6" customFormat="false" ht="15" hidden="false" customHeight="false" outlineLevel="0" collapsed="false">
      <c r="A6" s="26" t="s">
        <v>1038</v>
      </c>
      <c r="B6" s="26" t="s">
        <v>1039</v>
      </c>
      <c r="C6" s="26" t="s">
        <v>1040</v>
      </c>
      <c r="D6" s="35" t="n">
        <v>500</v>
      </c>
      <c r="E6" s="26" t="s">
        <v>1041</v>
      </c>
      <c r="F6" s="26" t="s">
        <v>1042</v>
      </c>
      <c r="G6" s="26" t="s">
        <v>1043</v>
      </c>
      <c r="H6" s="55" t="n">
        <v>3.6</v>
      </c>
      <c r="I6" s="26" t="s">
        <v>1032</v>
      </c>
      <c r="J6" s="45" t="n">
        <v>45</v>
      </c>
      <c r="K6" s="38" t="n">
        <f aca="false">H6*J6</f>
        <v>162</v>
      </c>
      <c r="L6" s="36" t="n">
        <f aca="false">INT(HorasOperacion/D6)</f>
        <v>6</v>
      </c>
      <c r="M6" s="39" t="n">
        <f aca="false">K6*L6</f>
        <v>972</v>
      </c>
    </row>
    <row r="7" customFormat="false" ht="15" hidden="false" customHeight="false" outlineLevel="0" collapsed="false">
      <c r="A7" s="26" t="s">
        <v>1038</v>
      </c>
      <c r="B7" s="26" t="s">
        <v>1044</v>
      </c>
      <c r="C7" s="26" t="s">
        <v>1040</v>
      </c>
      <c r="D7" s="35" t="n">
        <v>500</v>
      </c>
      <c r="E7" s="26" t="s">
        <v>1041</v>
      </c>
      <c r="F7" s="26" t="s">
        <v>1042</v>
      </c>
      <c r="G7" s="26" t="s">
        <v>1036</v>
      </c>
      <c r="H7" s="55" t="n">
        <v>1</v>
      </c>
      <c r="I7" s="26" t="s">
        <v>1032</v>
      </c>
      <c r="J7" s="45" t="n">
        <v>52</v>
      </c>
      <c r="K7" s="38" t="n">
        <f aca="false">H7*J7</f>
        <v>52</v>
      </c>
      <c r="L7" s="36" t="n">
        <f aca="false">INT(HorasOperacion/D7)</f>
        <v>6</v>
      </c>
      <c r="M7" s="39" t="n">
        <f aca="false">K7*L7</f>
        <v>312</v>
      </c>
    </row>
    <row r="8" customFormat="false" ht="15" hidden="false" customHeight="false" outlineLevel="0" collapsed="false">
      <c r="A8" s="26" t="s">
        <v>1038</v>
      </c>
      <c r="B8" s="26" t="s">
        <v>1045</v>
      </c>
      <c r="C8" s="26" t="s">
        <v>1040</v>
      </c>
      <c r="D8" s="35" t="n">
        <v>500</v>
      </c>
      <c r="E8" s="26" t="s">
        <v>1046</v>
      </c>
      <c r="F8" s="26" t="s">
        <v>1047</v>
      </c>
      <c r="G8" s="26" t="s">
        <v>1036</v>
      </c>
      <c r="H8" s="55" t="n">
        <v>1</v>
      </c>
      <c r="I8" s="26" t="s">
        <v>1037</v>
      </c>
      <c r="J8" s="45" t="n">
        <v>253.24</v>
      </c>
      <c r="K8" s="38" t="n">
        <f aca="false">H8*J8</f>
        <v>253.24</v>
      </c>
      <c r="L8" s="36" t="n">
        <f aca="false">INT(HorasOperacion/D8)</f>
        <v>6</v>
      </c>
      <c r="M8" s="39" t="n">
        <f aca="false">K8*L8</f>
        <v>1519.44</v>
      </c>
    </row>
    <row r="9" customFormat="false" ht="15" hidden="false" customHeight="false" outlineLevel="0" collapsed="false">
      <c r="A9" s="26" t="s">
        <v>1048</v>
      </c>
      <c r="B9" s="26" t="s">
        <v>1049</v>
      </c>
      <c r="C9" s="26" t="s">
        <v>1050</v>
      </c>
      <c r="D9" s="35" t="n">
        <v>1000</v>
      </c>
      <c r="E9" s="26" t="s">
        <v>1051</v>
      </c>
      <c r="F9" s="26" t="s">
        <v>1052</v>
      </c>
      <c r="G9" s="26" t="s">
        <v>1036</v>
      </c>
      <c r="H9" s="55" t="n">
        <v>1</v>
      </c>
      <c r="I9" s="26" t="s">
        <v>1037</v>
      </c>
      <c r="J9" s="45" t="n">
        <v>185</v>
      </c>
      <c r="K9" s="38" t="n">
        <f aca="false">H9*J9</f>
        <v>185</v>
      </c>
      <c r="L9" s="36" t="n">
        <f aca="false">INT(HorasOperacion/D9)</f>
        <v>3</v>
      </c>
      <c r="M9" s="39" t="n">
        <f aca="false">K9*L9</f>
        <v>555</v>
      </c>
    </row>
    <row r="10" customFormat="false" ht="15" hidden="false" customHeight="false" outlineLevel="0" collapsed="false">
      <c r="A10" s="26" t="s">
        <v>1048</v>
      </c>
      <c r="B10" s="26" t="s">
        <v>1053</v>
      </c>
      <c r="C10" s="26" t="s">
        <v>1050</v>
      </c>
      <c r="D10" s="35" t="n">
        <v>1000</v>
      </c>
      <c r="E10" s="26" t="s">
        <v>1054</v>
      </c>
      <c r="F10" s="26" t="s">
        <v>1055</v>
      </c>
      <c r="G10" s="26" t="s">
        <v>1036</v>
      </c>
      <c r="H10" s="55" t="n">
        <v>1</v>
      </c>
      <c r="I10" s="26" t="s">
        <v>1037</v>
      </c>
      <c r="J10" s="45" t="n">
        <v>628</v>
      </c>
      <c r="K10" s="38" t="n">
        <f aca="false">H10*J10</f>
        <v>628</v>
      </c>
      <c r="L10" s="36" t="n">
        <f aca="false">INT(HorasOperacion/D10)</f>
        <v>3</v>
      </c>
      <c r="M10" s="39" t="n">
        <f aca="false">K10*L10</f>
        <v>1884</v>
      </c>
    </row>
    <row r="11" customFormat="false" ht="15" hidden="false" customHeight="false" outlineLevel="0" collapsed="false">
      <c r="A11" s="26" t="s">
        <v>1056</v>
      </c>
      <c r="B11" s="26" t="s">
        <v>1057</v>
      </c>
      <c r="C11" s="26" t="s">
        <v>1058</v>
      </c>
      <c r="D11" s="35" t="n">
        <v>1500</v>
      </c>
      <c r="E11" s="26" t="s">
        <v>1059</v>
      </c>
      <c r="F11" s="26" t="s">
        <v>1060</v>
      </c>
      <c r="G11" s="26" t="s">
        <v>1036</v>
      </c>
      <c r="H11" s="55" t="n">
        <v>1</v>
      </c>
      <c r="I11" s="26" t="s">
        <v>1037</v>
      </c>
      <c r="J11" s="45" t="n">
        <v>95</v>
      </c>
      <c r="K11" s="38" t="n">
        <f aca="false">H11*J11</f>
        <v>95</v>
      </c>
      <c r="L11" s="36" t="n">
        <f aca="false">INT(HorasOperacion/D11)</f>
        <v>2</v>
      </c>
      <c r="M11" s="39" t="n">
        <f aca="false">K11*L11</f>
        <v>190</v>
      </c>
    </row>
    <row r="12" customFormat="false" ht="15" hidden="false" customHeight="false" outlineLevel="0" collapsed="false">
      <c r="A12" s="26" t="s">
        <v>1061</v>
      </c>
      <c r="B12" s="26" t="s">
        <v>1062</v>
      </c>
      <c r="C12" s="26" t="s">
        <v>1063</v>
      </c>
      <c r="D12" s="35" t="n">
        <v>2000</v>
      </c>
      <c r="E12" s="26" t="s">
        <v>1064</v>
      </c>
      <c r="F12" s="26" t="s">
        <v>1065</v>
      </c>
      <c r="G12" s="26" t="s">
        <v>1066</v>
      </c>
      <c r="H12" s="55" t="n">
        <v>24</v>
      </c>
      <c r="I12" s="26" t="s">
        <v>1032</v>
      </c>
      <c r="J12" s="45" t="n">
        <v>12</v>
      </c>
      <c r="K12" s="38" t="n">
        <f aca="false">H12*J12</f>
        <v>288</v>
      </c>
      <c r="L12" s="36" t="n">
        <f aca="false">INT(HorasOperacion/D12)</f>
        <v>1</v>
      </c>
      <c r="M12" s="39" t="n">
        <f aca="false">K12*L12</f>
        <v>288</v>
      </c>
    </row>
    <row r="13" customFormat="false" ht="15" hidden="false" customHeight="false" outlineLevel="0" collapsed="false">
      <c r="A13" s="26" t="s">
        <v>1067</v>
      </c>
      <c r="B13" s="26" t="s">
        <v>1068</v>
      </c>
      <c r="C13" s="26" t="s">
        <v>1069</v>
      </c>
      <c r="D13" s="35" t="n">
        <v>4500</v>
      </c>
      <c r="E13" s="26" t="s">
        <v>1070</v>
      </c>
      <c r="F13" s="26" t="s">
        <v>1071</v>
      </c>
      <c r="G13" s="26" t="s">
        <v>1072</v>
      </c>
      <c r="H13" s="55" t="n">
        <v>120</v>
      </c>
      <c r="I13" s="26" t="s">
        <v>1032</v>
      </c>
      <c r="J13" s="45" t="n">
        <v>8.5</v>
      </c>
      <c r="K13" s="38" t="n">
        <f aca="false">H13*J13</f>
        <v>1020</v>
      </c>
      <c r="L13" s="36" t="n">
        <f aca="false">INT(HorasOperacion/D13)</f>
        <v>0</v>
      </c>
      <c r="M13" s="39" t="n">
        <f aca="false">K13*L13</f>
        <v>0</v>
      </c>
    </row>
    <row r="14" customFormat="false" ht="15" hidden="false" customHeight="false" outlineLevel="0" collapsed="false">
      <c r="A14" s="23" t="s">
        <v>1073</v>
      </c>
      <c r="M14" s="40" t="n">
        <f aca="false">SUM(M4:M13)</f>
        <v>22520.44</v>
      </c>
    </row>
    <row r="15" customFormat="false" ht="15" hidden="false" customHeight="false" outlineLevel="0" collapsed="false">
      <c r="A15" s="23" t="s">
        <v>1074</v>
      </c>
      <c r="M15" s="51" t="n">
        <f aca="false">IF(HorasOperacion&gt;0,M14/HorasOperacion,0)</f>
        <v>7.50681333333333</v>
      </c>
    </row>
    <row r="17" customFormat="false" ht="15" hidden="false" customHeight="false" outlineLevel="0" collapsed="false">
      <c r="A17" s="53" t="s">
        <v>1075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2026-09-30T01:52:53Z</dcterms:created>
  <dc:creator>openpyxl</dc:creator>
  <dc:description/>
  <dc:language>en-US</dc:language>
  <cp:lastModifiedBy/>
  <dcterms:modified xsi:type="dcterms:W3CDTF">2026-09-30T01:52:53Z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